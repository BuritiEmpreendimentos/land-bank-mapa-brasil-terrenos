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eLivro" defaultThemeVersion="202300"/>
  <mc:AlternateContent xmlns:mc="http://schemas.openxmlformats.org/markup-compatibility/2006">
    <mc:Choice Requires="x15">
      <x15ac:absPath xmlns:x15ac="http://schemas.microsoft.com/office/spreadsheetml/2010/11/ac" url="X:\Departamento Controladoria\3 - BT 360º\Landbank\"/>
    </mc:Choice>
  </mc:AlternateContent>
  <xr:revisionPtr revIDLastSave="0" documentId="13_ncr:1_{1EB7D25A-6AE6-499B-AEEF-1429AB37EDA4}" xr6:coauthVersionLast="47" xr6:coauthVersionMax="47" xr10:uidLastSave="{00000000-0000-0000-0000-000000000000}"/>
  <bookViews>
    <workbookView xWindow="28680" yWindow="-120" windowWidth="29040" windowHeight="15720" xr2:uid="{2D7381EB-1656-47BB-A82F-14AB3B13CCCD}"/>
  </bookViews>
  <sheets>
    <sheet name="AREAS" sheetId="1" r:id="rId1"/>
    <sheet name="Painel" sheetId="4" r:id="rId2"/>
    <sheet name="Excluído da base" sheetId="7" r:id="rId3"/>
    <sheet name="Planilha1" sheetId="8" state="hidden" r:id="rId4"/>
    <sheet name="Planilha2" sheetId="3" state="hidden" r:id="rId5"/>
  </sheets>
  <definedNames>
    <definedName name="_xlnm._FilterDatabase" localSheetId="0" hidden="1">AREAS!$A$3:$AR$242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1" i="1" l="1"/>
  <c r="AC241" i="1"/>
  <c r="AG241" i="1"/>
  <c r="AL241" i="1"/>
  <c r="AN241" i="1"/>
  <c r="AO241" i="1"/>
  <c r="AP241" i="1"/>
  <c r="W242" i="1"/>
  <c r="AC242" i="1"/>
  <c r="AG242" i="1"/>
  <c r="AL242" i="1"/>
  <c r="AN242" i="1"/>
  <c r="AO242" i="1"/>
  <c r="AP242" i="1"/>
  <c r="W237" i="1"/>
  <c r="W238" i="1"/>
  <c r="W239" i="1"/>
  <c r="W240" i="1"/>
  <c r="W236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5" i="1"/>
  <c r="AC4" i="1"/>
  <c r="AG236" i="1"/>
  <c r="AG237" i="1"/>
  <c r="AG238" i="1"/>
  <c r="AG239" i="1"/>
  <c r="AG240" i="1"/>
  <c r="AL236" i="1"/>
  <c r="AF236" i="1" s="1"/>
  <c r="AL237" i="1"/>
  <c r="AF237" i="1" s="1"/>
  <c r="AL238" i="1"/>
  <c r="AF238" i="1" s="1"/>
  <c r="AL239" i="1"/>
  <c r="AF239" i="1" s="1"/>
  <c r="AL240" i="1"/>
  <c r="AF240" i="1" s="1"/>
  <c r="AM236" i="1"/>
  <c r="AM237" i="1"/>
  <c r="AM238" i="1"/>
  <c r="AM239" i="1"/>
  <c r="AM240" i="1"/>
  <c r="AN236" i="1"/>
  <c r="AN237" i="1"/>
  <c r="AN238" i="1"/>
  <c r="AN239" i="1"/>
  <c r="AN240" i="1"/>
  <c r="AO236" i="1"/>
  <c r="AO237" i="1"/>
  <c r="AO238" i="1"/>
  <c r="AO239" i="1"/>
  <c r="AO240" i="1"/>
  <c r="AP236" i="1"/>
  <c r="AP237" i="1"/>
  <c r="AP238" i="1"/>
  <c r="AQ238" i="1" s="1"/>
  <c r="AP239" i="1"/>
  <c r="AQ239" i="1" s="1"/>
  <c r="AP240" i="1"/>
  <c r="AQ240" i="1" s="1"/>
  <c r="AQ236" i="1"/>
  <c r="AQ237" i="1"/>
  <c r="AL235" i="1"/>
  <c r="AN235" i="1"/>
  <c r="AO235" i="1"/>
  <c r="AP235" i="1"/>
  <c r="AG235" i="1"/>
  <c r="AE235" i="1"/>
  <c r="W235" i="1"/>
  <c r="AG234" i="1"/>
  <c r="AE234" i="1"/>
  <c r="W234" i="1"/>
  <c r="AP234" i="1"/>
  <c r="AO234" i="1"/>
  <c r="AN234" i="1"/>
  <c r="AL234" i="1"/>
  <c r="AL23" i="1"/>
  <c r="F5" i="4"/>
  <c r="F4" i="4"/>
  <c r="F3" i="4"/>
  <c r="F2" i="4"/>
  <c r="AP233" i="1"/>
  <c r="AO233" i="1"/>
  <c r="AN233" i="1"/>
  <c r="AL233" i="1"/>
  <c r="AG233" i="1"/>
  <c r="AE233" i="1"/>
  <c r="W233" i="1"/>
  <c r="AP232" i="1"/>
  <c r="AO232" i="1"/>
  <c r="AN232" i="1"/>
  <c r="AL232" i="1"/>
  <c r="AG232" i="1"/>
  <c r="AE232" i="1"/>
  <c r="W232" i="1"/>
  <c r="AP231" i="1"/>
  <c r="AO231" i="1"/>
  <c r="AN231" i="1"/>
  <c r="AL231" i="1"/>
  <c r="AG231" i="1"/>
  <c r="AE231" i="1"/>
  <c r="W231" i="1"/>
  <c r="AP230" i="1"/>
  <c r="AO230" i="1"/>
  <c r="AN230" i="1"/>
  <c r="AL230" i="1"/>
  <c r="AG230" i="1"/>
  <c r="AE230" i="1"/>
  <c r="W230" i="1"/>
  <c r="AP99" i="7"/>
  <c r="AO99" i="7"/>
  <c r="AN99" i="7"/>
  <c r="AL99" i="7"/>
  <c r="AG99" i="7"/>
  <c r="AE99" i="7"/>
  <c r="AF99" i="7" s="1"/>
  <c r="AC99" i="7"/>
  <c r="W99" i="7"/>
  <c r="W229" i="1"/>
  <c r="AE229" i="1"/>
  <c r="AG229" i="1"/>
  <c r="AL229" i="1"/>
  <c r="AN229" i="1"/>
  <c r="AO229" i="1"/>
  <c r="AP229" i="1"/>
  <c r="AP228" i="1"/>
  <c r="AO228" i="1"/>
  <c r="AN228" i="1"/>
  <c r="AL228" i="1"/>
  <c r="AG228" i="1"/>
  <c r="AE228" i="1"/>
  <c r="AF228" i="1" s="1"/>
  <c r="W228" i="1"/>
  <c r="AP227" i="1"/>
  <c r="AO227" i="1"/>
  <c r="AN227" i="1"/>
  <c r="AL227" i="1"/>
  <c r="AG227" i="1"/>
  <c r="AE227" i="1"/>
  <c r="W227" i="1"/>
  <c r="AP226" i="1"/>
  <c r="AO226" i="1"/>
  <c r="AN226" i="1"/>
  <c r="AL226" i="1"/>
  <c r="AG226" i="1"/>
  <c r="AE226" i="1"/>
  <c r="W226" i="1"/>
  <c r="AP225" i="1"/>
  <c r="AO225" i="1"/>
  <c r="AN225" i="1"/>
  <c r="AL225" i="1"/>
  <c r="AG225" i="1"/>
  <c r="AE225" i="1"/>
  <c r="W225" i="1"/>
  <c r="AP224" i="1"/>
  <c r="AO224" i="1"/>
  <c r="AN224" i="1"/>
  <c r="AL224" i="1"/>
  <c r="AG224" i="1"/>
  <c r="AE224" i="1"/>
  <c r="AF224" i="1" s="1"/>
  <c r="W224" i="1"/>
  <c r="AP223" i="1"/>
  <c r="AO223" i="1"/>
  <c r="AN223" i="1"/>
  <c r="AL223" i="1"/>
  <c r="AG223" i="1"/>
  <c r="AE223" i="1"/>
  <c r="W223" i="1"/>
  <c r="AP222" i="1"/>
  <c r="AO222" i="1"/>
  <c r="AN222" i="1"/>
  <c r="AL222" i="1"/>
  <c r="AG222" i="1"/>
  <c r="AE222" i="1"/>
  <c r="W222" i="1"/>
  <c r="W221" i="1"/>
  <c r="AP221" i="1"/>
  <c r="AN221" i="1"/>
  <c r="AO221" i="1"/>
  <c r="AL221" i="1"/>
  <c r="AP220" i="1"/>
  <c r="AO220" i="1"/>
  <c r="AN220" i="1"/>
  <c r="AL220" i="1"/>
  <c r="AG220" i="1"/>
  <c r="AE220" i="1"/>
  <c r="AF220" i="1" s="1"/>
  <c r="W220" i="1"/>
  <c r="AP98" i="7"/>
  <c r="AO98" i="7"/>
  <c r="AN98" i="7"/>
  <c r="AL98" i="7"/>
  <c r="AG98" i="7"/>
  <c r="AE98" i="7"/>
  <c r="AF98" i="7" s="1"/>
  <c r="AC98" i="7"/>
  <c r="W98" i="7"/>
  <c r="AP219" i="1"/>
  <c r="AO219" i="1"/>
  <c r="AN219" i="1"/>
  <c r="AL219" i="1"/>
  <c r="AG219" i="1"/>
  <c r="AE219" i="1"/>
  <c r="W219" i="1"/>
  <c r="AP96" i="7"/>
  <c r="AO96" i="7"/>
  <c r="AN96" i="7"/>
  <c r="AL96" i="7"/>
  <c r="AG96" i="7"/>
  <c r="AE96" i="7"/>
  <c r="AC96" i="7"/>
  <c r="W96" i="7"/>
  <c r="AP95" i="7"/>
  <c r="AO95" i="7"/>
  <c r="AN95" i="7"/>
  <c r="AL95" i="7"/>
  <c r="AG95" i="7"/>
  <c r="AE95" i="7"/>
  <c r="AC95" i="7"/>
  <c r="W95" i="7"/>
  <c r="AP94" i="7"/>
  <c r="AO94" i="7"/>
  <c r="AN94" i="7"/>
  <c r="AL94" i="7"/>
  <c r="AG94" i="7"/>
  <c r="AE94" i="7"/>
  <c r="AC94" i="7"/>
  <c r="W94" i="7"/>
  <c r="AP93" i="7"/>
  <c r="AO93" i="7"/>
  <c r="AN93" i="7"/>
  <c r="AL93" i="7"/>
  <c r="AG93" i="7"/>
  <c r="AE93" i="7"/>
  <c r="AC93" i="7"/>
  <c r="W93" i="7"/>
  <c r="AP216" i="1"/>
  <c r="AO216" i="1"/>
  <c r="AN216" i="1"/>
  <c r="AL216" i="1"/>
  <c r="AG216" i="1"/>
  <c r="AE216" i="1"/>
  <c r="W216" i="1"/>
  <c r="AP215" i="1"/>
  <c r="AO215" i="1"/>
  <c r="AN215" i="1"/>
  <c r="AL215" i="1"/>
  <c r="AG215" i="1"/>
  <c r="AE215" i="1"/>
  <c r="W215" i="1"/>
  <c r="AP214" i="1"/>
  <c r="AO214" i="1"/>
  <c r="AN214" i="1"/>
  <c r="AL214" i="1"/>
  <c r="AG214" i="1"/>
  <c r="AE214" i="1"/>
  <c r="W214" i="1"/>
  <c r="AP213" i="1"/>
  <c r="AO213" i="1"/>
  <c r="AN213" i="1"/>
  <c r="AL213" i="1"/>
  <c r="AG213" i="1"/>
  <c r="AE213" i="1"/>
  <c r="W213" i="1"/>
  <c r="AP212" i="1"/>
  <c r="AO212" i="1"/>
  <c r="AN212" i="1"/>
  <c r="AL212" i="1"/>
  <c r="AG212" i="1"/>
  <c r="AE212" i="1"/>
  <c r="AF212" i="1" s="1"/>
  <c r="W212" i="1"/>
  <c r="AP92" i="7"/>
  <c r="AO92" i="7"/>
  <c r="AN92" i="7"/>
  <c r="AL92" i="7"/>
  <c r="AG92" i="7"/>
  <c r="AE92" i="7"/>
  <c r="AC92" i="7"/>
  <c r="W92" i="7"/>
  <c r="AP91" i="7"/>
  <c r="AO91" i="7"/>
  <c r="AN91" i="7"/>
  <c r="AL91" i="7"/>
  <c r="AG91" i="7"/>
  <c r="AE91" i="7"/>
  <c r="AF91" i="7" s="1"/>
  <c r="AC91" i="7"/>
  <c r="W91" i="7"/>
  <c r="AP211" i="1"/>
  <c r="AO211" i="1"/>
  <c r="AN211" i="1"/>
  <c r="AL211" i="1"/>
  <c r="AG211" i="1"/>
  <c r="AE211" i="1"/>
  <c r="W211" i="1"/>
  <c r="AP90" i="7"/>
  <c r="AO90" i="7"/>
  <c r="AN90" i="7"/>
  <c r="AL90" i="7"/>
  <c r="AG90" i="7"/>
  <c r="AE90" i="7"/>
  <c r="W90" i="7"/>
  <c r="AP89" i="7"/>
  <c r="AO89" i="7"/>
  <c r="AN89" i="7"/>
  <c r="AL89" i="7"/>
  <c r="AG89" i="7"/>
  <c r="AE89" i="7"/>
  <c r="AF89" i="7" s="1"/>
  <c r="AC89" i="7"/>
  <c r="W89" i="7"/>
  <c r="AP210" i="1"/>
  <c r="AO210" i="1"/>
  <c r="AN210" i="1"/>
  <c r="AL210" i="1"/>
  <c r="AG210" i="1"/>
  <c r="AE210" i="1"/>
  <c r="W210" i="1"/>
  <c r="AE121" i="1"/>
  <c r="AP126" i="1"/>
  <c r="AO126" i="1"/>
  <c r="AN126" i="1"/>
  <c r="AL126" i="1"/>
  <c r="AG126" i="1"/>
  <c r="AE126" i="1"/>
  <c r="W126" i="1"/>
  <c r="AP125" i="1"/>
  <c r="AO125" i="1"/>
  <c r="AN125" i="1"/>
  <c r="AL125" i="1"/>
  <c r="AG125" i="1"/>
  <c r="AE125" i="1"/>
  <c r="W125" i="1"/>
  <c r="AP124" i="1"/>
  <c r="AO124" i="1"/>
  <c r="AN124" i="1"/>
  <c r="AL124" i="1"/>
  <c r="AG124" i="1"/>
  <c r="AE124" i="1"/>
  <c r="W124" i="1"/>
  <c r="AP123" i="1"/>
  <c r="AO123" i="1"/>
  <c r="AN123" i="1"/>
  <c r="AL123" i="1"/>
  <c r="AG123" i="1"/>
  <c r="AE123" i="1"/>
  <c r="W123" i="1"/>
  <c r="AP122" i="1"/>
  <c r="AO122" i="1"/>
  <c r="AN122" i="1"/>
  <c r="AL122" i="1"/>
  <c r="AG122" i="1"/>
  <c r="AE122" i="1"/>
  <c r="W122" i="1"/>
  <c r="AP121" i="1"/>
  <c r="AO121" i="1"/>
  <c r="AN121" i="1"/>
  <c r="AL121" i="1"/>
  <c r="AG121" i="1"/>
  <c r="W121" i="1"/>
  <c r="AP120" i="1"/>
  <c r="AO120" i="1"/>
  <c r="AN120" i="1"/>
  <c r="AL120" i="1"/>
  <c r="AG120" i="1"/>
  <c r="AE120" i="1"/>
  <c r="W120" i="1"/>
  <c r="AP119" i="1"/>
  <c r="AO119" i="1"/>
  <c r="AN119" i="1"/>
  <c r="AL119" i="1"/>
  <c r="AG119" i="1"/>
  <c r="AE119" i="1"/>
  <c r="W119" i="1"/>
  <c r="AP118" i="1"/>
  <c r="AO118" i="1"/>
  <c r="AN118" i="1"/>
  <c r="AL118" i="1"/>
  <c r="AG118" i="1"/>
  <c r="AE118" i="1"/>
  <c r="W118" i="1"/>
  <c r="AP117" i="1"/>
  <c r="AO117" i="1"/>
  <c r="AN117" i="1"/>
  <c r="AL117" i="1"/>
  <c r="AG117" i="1"/>
  <c r="AE117" i="1"/>
  <c r="W117" i="1"/>
  <c r="AP116" i="1"/>
  <c r="AO116" i="1"/>
  <c r="AN116" i="1"/>
  <c r="AL116" i="1"/>
  <c r="AG116" i="1"/>
  <c r="AE116" i="1"/>
  <c r="AF116" i="1" s="1"/>
  <c r="W116" i="1"/>
  <c r="AP115" i="1"/>
  <c r="AO115" i="1"/>
  <c r="AN115" i="1"/>
  <c r="AL115" i="1"/>
  <c r="AG115" i="1"/>
  <c r="AE115" i="1"/>
  <c r="W115" i="1"/>
  <c r="AP209" i="1"/>
  <c r="AO209" i="1"/>
  <c r="AN209" i="1"/>
  <c r="AL209" i="1"/>
  <c r="AG209" i="1"/>
  <c r="AE209" i="1"/>
  <c r="W209" i="1"/>
  <c r="AP88" i="7"/>
  <c r="AO88" i="7"/>
  <c r="AN88" i="7"/>
  <c r="AL88" i="7"/>
  <c r="AG88" i="7"/>
  <c r="AE88" i="7"/>
  <c r="AC88" i="7"/>
  <c r="W88" i="7"/>
  <c r="AP208" i="1"/>
  <c r="AO208" i="1"/>
  <c r="AN208" i="1"/>
  <c r="AL208" i="1"/>
  <c r="AG208" i="1"/>
  <c r="AE208" i="1"/>
  <c r="W208" i="1"/>
  <c r="AP207" i="1"/>
  <c r="AO207" i="1"/>
  <c r="AN207" i="1"/>
  <c r="AL207" i="1"/>
  <c r="AG207" i="1"/>
  <c r="AE207" i="1"/>
  <c r="W207" i="1"/>
  <c r="AP206" i="1"/>
  <c r="AO206" i="1"/>
  <c r="AN206" i="1"/>
  <c r="AL206" i="1"/>
  <c r="AG206" i="1"/>
  <c r="AE206" i="1"/>
  <c r="W206" i="1"/>
  <c r="AP205" i="1"/>
  <c r="AO205" i="1"/>
  <c r="AN205" i="1"/>
  <c r="AL205" i="1"/>
  <c r="AG205" i="1"/>
  <c r="AE205" i="1"/>
  <c r="W205" i="1"/>
  <c r="AP204" i="1"/>
  <c r="AO204" i="1"/>
  <c r="AN204" i="1"/>
  <c r="AL204" i="1"/>
  <c r="AG204" i="1"/>
  <c r="AE204" i="1"/>
  <c r="W204" i="1"/>
  <c r="AP203" i="1"/>
  <c r="AO203" i="1"/>
  <c r="AN203" i="1"/>
  <c r="AL203" i="1"/>
  <c r="AG203" i="1"/>
  <c r="AE203" i="1"/>
  <c r="W203" i="1"/>
  <c r="AP202" i="1"/>
  <c r="AO202" i="1"/>
  <c r="AN202" i="1"/>
  <c r="AL202" i="1"/>
  <c r="AG202" i="1"/>
  <c r="AE202" i="1"/>
  <c r="W202" i="1"/>
  <c r="AP201" i="1"/>
  <c r="AO201" i="1"/>
  <c r="AN201" i="1"/>
  <c r="AL201" i="1"/>
  <c r="AG201" i="1"/>
  <c r="AE201" i="1"/>
  <c r="W201" i="1"/>
  <c r="AP200" i="1"/>
  <c r="AO200" i="1"/>
  <c r="AN200" i="1"/>
  <c r="AL200" i="1"/>
  <c r="AG200" i="1"/>
  <c r="AE200" i="1"/>
  <c r="W200" i="1"/>
  <c r="AP199" i="1"/>
  <c r="AO199" i="1"/>
  <c r="AN199" i="1"/>
  <c r="AL199" i="1"/>
  <c r="AG199" i="1"/>
  <c r="AE199" i="1"/>
  <c r="W199" i="1"/>
  <c r="AP198" i="1"/>
  <c r="AO198" i="1"/>
  <c r="AN198" i="1"/>
  <c r="AL198" i="1"/>
  <c r="AG198" i="1"/>
  <c r="AE198" i="1"/>
  <c r="W198" i="1"/>
  <c r="AP197" i="1"/>
  <c r="AO197" i="1"/>
  <c r="AN197" i="1"/>
  <c r="AL197" i="1"/>
  <c r="AG197" i="1"/>
  <c r="AE197" i="1"/>
  <c r="W197" i="1"/>
  <c r="AP196" i="1"/>
  <c r="AO196" i="1"/>
  <c r="AN196" i="1"/>
  <c r="AL196" i="1"/>
  <c r="AG196" i="1"/>
  <c r="AE196" i="1"/>
  <c r="W196" i="1"/>
  <c r="AP195" i="1"/>
  <c r="AO195" i="1"/>
  <c r="AN195" i="1"/>
  <c r="AL195" i="1"/>
  <c r="AG195" i="1"/>
  <c r="AE195" i="1"/>
  <c r="W195" i="1"/>
  <c r="AP194" i="1"/>
  <c r="AO194" i="1"/>
  <c r="AN194" i="1"/>
  <c r="AL194" i="1"/>
  <c r="AG194" i="1"/>
  <c r="AE194" i="1"/>
  <c r="W194" i="1"/>
  <c r="AP193" i="1"/>
  <c r="AO193" i="1"/>
  <c r="AN193" i="1"/>
  <c r="AL193" i="1"/>
  <c r="AG193" i="1"/>
  <c r="AE193" i="1"/>
  <c r="W193" i="1"/>
  <c r="AP192" i="1"/>
  <c r="AO192" i="1"/>
  <c r="AN192" i="1"/>
  <c r="AL192" i="1"/>
  <c r="AG192" i="1"/>
  <c r="AE192" i="1"/>
  <c r="W192" i="1"/>
  <c r="AP191" i="1"/>
  <c r="AO191" i="1"/>
  <c r="AN191" i="1"/>
  <c r="AL191" i="1"/>
  <c r="AG191" i="1"/>
  <c r="AE191" i="1"/>
  <c r="AF191" i="1" s="1"/>
  <c r="W191" i="1"/>
  <c r="AP190" i="1"/>
  <c r="AO190" i="1"/>
  <c r="AN190" i="1"/>
  <c r="AL190" i="1"/>
  <c r="AG190" i="1"/>
  <c r="AE190" i="1"/>
  <c r="W190" i="1"/>
  <c r="AP189" i="1"/>
  <c r="AO189" i="1"/>
  <c r="AN189" i="1"/>
  <c r="AL189" i="1"/>
  <c r="AG189" i="1"/>
  <c r="AE189" i="1"/>
  <c r="W189" i="1"/>
  <c r="AP188" i="1"/>
  <c r="AO188" i="1"/>
  <c r="AN188" i="1"/>
  <c r="AL188" i="1"/>
  <c r="AG188" i="1"/>
  <c r="AE188" i="1"/>
  <c r="W188" i="1"/>
  <c r="AP187" i="1"/>
  <c r="AO187" i="1"/>
  <c r="AN187" i="1"/>
  <c r="AL187" i="1"/>
  <c r="AG187" i="1"/>
  <c r="AE187" i="1"/>
  <c r="W187" i="1"/>
  <c r="AP186" i="1"/>
  <c r="AO186" i="1"/>
  <c r="AN186" i="1"/>
  <c r="AL186" i="1"/>
  <c r="AG186" i="1"/>
  <c r="AE186" i="1"/>
  <c r="AF186" i="1" s="1"/>
  <c r="W186" i="1"/>
  <c r="AP185" i="1"/>
  <c r="AO185" i="1"/>
  <c r="AN185" i="1"/>
  <c r="AL185" i="1"/>
  <c r="AG185" i="1"/>
  <c r="AE185" i="1"/>
  <c r="W185" i="1"/>
  <c r="AP184" i="1"/>
  <c r="AO184" i="1"/>
  <c r="AN184" i="1"/>
  <c r="AL184" i="1"/>
  <c r="AG184" i="1"/>
  <c r="AE184" i="1"/>
  <c r="W184" i="1"/>
  <c r="AP183" i="1"/>
  <c r="AO183" i="1"/>
  <c r="AN183" i="1"/>
  <c r="AL183" i="1"/>
  <c r="AG183" i="1"/>
  <c r="AE183" i="1"/>
  <c r="W183" i="1"/>
  <c r="AP182" i="1"/>
  <c r="AO182" i="1"/>
  <c r="AN182" i="1"/>
  <c r="AL182" i="1"/>
  <c r="AG182" i="1"/>
  <c r="AE182" i="1"/>
  <c r="W182" i="1"/>
  <c r="AP181" i="1"/>
  <c r="AO181" i="1"/>
  <c r="AN181" i="1"/>
  <c r="AL181" i="1"/>
  <c r="AG181" i="1"/>
  <c r="AE181" i="1"/>
  <c r="W181" i="1"/>
  <c r="AP180" i="1"/>
  <c r="AO180" i="1"/>
  <c r="AN180" i="1"/>
  <c r="AL180" i="1"/>
  <c r="AG180" i="1"/>
  <c r="AE180" i="1"/>
  <c r="AF180" i="1" s="1"/>
  <c r="W180" i="1"/>
  <c r="AP179" i="1"/>
  <c r="AO179" i="1"/>
  <c r="AN179" i="1"/>
  <c r="AL179" i="1"/>
  <c r="AG179" i="1"/>
  <c r="AE179" i="1"/>
  <c r="W179" i="1"/>
  <c r="AP178" i="1"/>
  <c r="AO178" i="1"/>
  <c r="AN178" i="1"/>
  <c r="AL178" i="1"/>
  <c r="AG178" i="1"/>
  <c r="AE178" i="1"/>
  <c r="AF178" i="1" s="1"/>
  <c r="W178" i="1"/>
  <c r="AP177" i="1"/>
  <c r="AO177" i="1"/>
  <c r="AN177" i="1"/>
  <c r="AL177" i="1"/>
  <c r="AG177" i="1"/>
  <c r="AE177" i="1"/>
  <c r="AF177" i="1" s="1"/>
  <c r="W177" i="1"/>
  <c r="AP176" i="1"/>
  <c r="AO176" i="1"/>
  <c r="AN176" i="1"/>
  <c r="AL176" i="1"/>
  <c r="AG176" i="1"/>
  <c r="AE176" i="1"/>
  <c r="W176" i="1"/>
  <c r="AP175" i="1"/>
  <c r="AO175" i="1"/>
  <c r="AN175" i="1"/>
  <c r="AL175" i="1"/>
  <c r="AG175" i="1"/>
  <c r="AE175" i="1"/>
  <c r="AF175" i="1" s="1"/>
  <c r="W175" i="1"/>
  <c r="AP174" i="1"/>
  <c r="AO174" i="1"/>
  <c r="AN174" i="1"/>
  <c r="AL174" i="1"/>
  <c r="AG174" i="1"/>
  <c r="AE174" i="1"/>
  <c r="W174" i="1"/>
  <c r="AP173" i="1"/>
  <c r="AO173" i="1"/>
  <c r="AN173" i="1"/>
  <c r="AL173" i="1"/>
  <c r="AG173" i="1"/>
  <c r="AE173" i="1"/>
  <c r="W173" i="1"/>
  <c r="AP172" i="1"/>
  <c r="AO172" i="1"/>
  <c r="AN172" i="1"/>
  <c r="AL172" i="1"/>
  <c r="AG172" i="1"/>
  <c r="AE172" i="1"/>
  <c r="W172" i="1"/>
  <c r="AP171" i="1"/>
  <c r="AO171" i="1"/>
  <c r="AN171" i="1"/>
  <c r="AL171" i="1"/>
  <c r="AG171" i="1"/>
  <c r="AE171" i="1"/>
  <c r="W171" i="1"/>
  <c r="AP170" i="1"/>
  <c r="AO170" i="1"/>
  <c r="AN170" i="1"/>
  <c r="AL170" i="1"/>
  <c r="AG170" i="1"/>
  <c r="AE170" i="1"/>
  <c r="W170" i="1"/>
  <c r="AP169" i="1"/>
  <c r="AO169" i="1"/>
  <c r="AN169" i="1"/>
  <c r="AL169" i="1"/>
  <c r="AG169" i="1"/>
  <c r="AE169" i="1"/>
  <c r="AF169" i="1" s="1"/>
  <c r="W169" i="1"/>
  <c r="AP168" i="1"/>
  <c r="AO168" i="1"/>
  <c r="AN168" i="1"/>
  <c r="AL168" i="1"/>
  <c r="AG168" i="1"/>
  <c r="AE168" i="1"/>
  <c r="AF168" i="1" s="1"/>
  <c r="W168" i="1"/>
  <c r="AP87" i="7"/>
  <c r="AO87" i="7"/>
  <c r="AN87" i="7"/>
  <c r="AL87" i="7"/>
  <c r="AG87" i="7"/>
  <c r="AE87" i="7"/>
  <c r="AC87" i="7"/>
  <c r="W87" i="7"/>
  <c r="AP86" i="7"/>
  <c r="AO86" i="7"/>
  <c r="AN86" i="7"/>
  <c r="AL86" i="7"/>
  <c r="AG86" i="7"/>
  <c r="AE86" i="7"/>
  <c r="AC86" i="7"/>
  <c r="W86" i="7"/>
  <c r="AP85" i="7"/>
  <c r="AO85" i="7"/>
  <c r="AN85" i="7"/>
  <c r="AL85" i="7"/>
  <c r="AG85" i="7"/>
  <c r="AE85" i="7"/>
  <c r="AC85" i="7"/>
  <c r="W85" i="7"/>
  <c r="AP84" i="7"/>
  <c r="AO84" i="7"/>
  <c r="AN84" i="7"/>
  <c r="AL84" i="7"/>
  <c r="AG84" i="7"/>
  <c r="AE84" i="7"/>
  <c r="AF84" i="7" s="1"/>
  <c r="AC84" i="7"/>
  <c r="W84" i="7"/>
  <c r="AP83" i="7"/>
  <c r="AO83" i="7"/>
  <c r="AN83" i="7"/>
  <c r="AL83" i="7"/>
  <c r="AG83" i="7"/>
  <c r="AE83" i="7"/>
  <c r="AF83" i="7" s="1"/>
  <c r="AC83" i="7"/>
  <c r="W83" i="7"/>
  <c r="AP82" i="7"/>
  <c r="AO82" i="7"/>
  <c r="AN82" i="7"/>
  <c r="AL82" i="7"/>
  <c r="AG82" i="7"/>
  <c r="AE82" i="7"/>
  <c r="AF82" i="7" s="1"/>
  <c r="AC82" i="7"/>
  <c r="W82" i="7"/>
  <c r="AP81" i="7"/>
  <c r="AO81" i="7"/>
  <c r="AN81" i="7"/>
  <c r="AL81" i="7"/>
  <c r="AG81" i="7"/>
  <c r="AE81" i="7"/>
  <c r="AF81" i="7" s="1"/>
  <c r="AC81" i="7"/>
  <c r="W81" i="7"/>
  <c r="AP80" i="7"/>
  <c r="AO80" i="7"/>
  <c r="AN80" i="7"/>
  <c r="AL80" i="7"/>
  <c r="AG80" i="7"/>
  <c r="AE80" i="7"/>
  <c r="AF80" i="7" s="1"/>
  <c r="AC80" i="7"/>
  <c r="W80" i="7"/>
  <c r="AP79" i="7"/>
  <c r="AO79" i="7"/>
  <c r="AN79" i="7"/>
  <c r="AL79" i="7"/>
  <c r="AG79" i="7"/>
  <c r="AE79" i="7"/>
  <c r="AF79" i="7" s="1"/>
  <c r="AC79" i="7"/>
  <c r="W79" i="7"/>
  <c r="AP78" i="7"/>
  <c r="AO78" i="7"/>
  <c r="AN78" i="7"/>
  <c r="AL78" i="7"/>
  <c r="AG78" i="7"/>
  <c r="AE78" i="7"/>
  <c r="AC78" i="7"/>
  <c r="W78" i="7"/>
  <c r="AP77" i="7"/>
  <c r="AO77" i="7"/>
  <c r="AN77" i="7"/>
  <c r="AL77" i="7"/>
  <c r="AG77" i="7"/>
  <c r="AE77" i="7"/>
  <c r="AF77" i="7" s="1"/>
  <c r="AC77" i="7"/>
  <c r="W77" i="7"/>
  <c r="AP76" i="7"/>
  <c r="AO76" i="7"/>
  <c r="AN76" i="7"/>
  <c r="AL76" i="7"/>
  <c r="AG76" i="7"/>
  <c r="AE76" i="7"/>
  <c r="AC76" i="7"/>
  <c r="W76" i="7"/>
  <c r="AP75" i="7"/>
  <c r="AO75" i="7"/>
  <c r="AN75" i="7"/>
  <c r="AL75" i="7"/>
  <c r="AG75" i="7"/>
  <c r="AE75" i="7"/>
  <c r="AF75" i="7" s="1"/>
  <c r="AC75" i="7"/>
  <c r="W75" i="7"/>
  <c r="AP74" i="7"/>
  <c r="AO74" i="7"/>
  <c r="AN74" i="7"/>
  <c r="AL74" i="7"/>
  <c r="AG74" i="7"/>
  <c r="AE74" i="7"/>
  <c r="AC74" i="7"/>
  <c r="W74" i="7"/>
  <c r="AP73" i="7"/>
  <c r="AO73" i="7"/>
  <c r="AN73" i="7"/>
  <c r="AL73" i="7"/>
  <c r="AG73" i="7"/>
  <c r="AE73" i="7"/>
  <c r="AF73" i="7" s="1"/>
  <c r="AC73" i="7"/>
  <c r="W73" i="7"/>
  <c r="AP72" i="7"/>
  <c r="AO72" i="7"/>
  <c r="AN72" i="7"/>
  <c r="AL72" i="7"/>
  <c r="AG72" i="7"/>
  <c r="AE72" i="7"/>
  <c r="AF72" i="7" s="1"/>
  <c r="AC72" i="7"/>
  <c r="W72" i="7"/>
  <c r="AP71" i="7"/>
  <c r="AO71" i="7"/>
  <c r="AN71" i="7"/>
  <c r="AL71" i="7"/>
  <c r="AG71" i="7"/>
  <c r="AE71" i="7"/>
  <c r="AF71" i="7" s="1"/>
  <c r="AC71" i="7"/>
  <c r="W71" i="7"/>
  <c r="AP70" i="7"/>
  <c r="AO70" i="7"/>
  <c r="AN70" i="7"/>
  <c r="AL70" i="7"/>
  <c r="AG70" i="7"/>
  <c r="AE70" i="7"/>
  <c r="AF70" i="7" s="1"/>
  <c r="AC70" i="7"/>
  <c r="W70" i="7"/>
  <c r="AP69" i="7"/>
  <c r="AO69" i="7"/>
  <c r="AN69" i="7"/>
  <c r="AL69" i="7"/>
  <c r="AG69" i="7"/>
  <c r="AE69" i="7"/>
  <c r="AF69" i="7" s="1"/>
  <c r="AC69" i="7"/>
  <c r="W69" i="7"/>
  <c r="AP68" i="7"/>
  <c r="AO68" i="7"/>
  <c r="AN68" i="7"/>
  <c r="AL68" i="7"/>
  <c r="AG68" i="7"/>
  <c r="AE68" i="7"/>
  <c r="AF68" i="7" s="1"/>
  <c r="AC68" i="7"/>
  <c r="W68" i="7"/>
  <c r="AP67" i="7"/>
  <c r="AO67" i="7"/>
  <c r="AN67" i="7"/>
  <c r="AL67" i="7"/>
  <c r="AG67" i="7"/>
  <c r="AE67" i="7"/>
  <c r="AF67" i="7" s="1"/>
  <c r="AC67" i="7"/>
  <c r="W67" i="7"/>
  <c r="AP66" i="7"/>
  <c r="AO66" i="7"/>
  <c r="AN66" i="7"/>
  <c r="AL66" i="7"/>
  <c r="AG66" i="7"/>
  <c r="AE66" i="7"/>
  <c r="AF66" i="7" s="1"/>
  <c r="AC66" i="7"/>
  <c r="W66" i="7"/>
  <c r="AP65" i="7"/>
  <c r="AO65" i="7"/>
  <c r="AN65" i="7"/>
  <c r="AL65" i="7"/>
  <c r="AG65" i="7"/>
  <c r="AE65" i="7"/>
  <c r="AC65" i="7"/>
  <c r="W65" i="7"/>
  <c r="AP64" i="7"/>
  <c r="AO64" i="7"/>
  <c r="AN64" i="7"/>
  <c r="AL64" i="7"/>
  <c r="AG64" i="7"/>
  <c r="AE64" i="7"/>
  <c r="AF64" i="7" s="1"/>
  <c r="AC64" i="7"/>
  <c r="W64" i="7"/>
  <c r="AP63" i="7"/>
  <c r="AO63" i="7"/>
  <c r="AN63" i="7"/>
  <c r="AL63" i="7"/>
  <c r="AG63" i="7"/>
  <c r="AE63" i="7"/>
  <c r="AF63" i="7" s="1"/>
  <c r="AC63" i="7"/>
  <c r="W63" i="7"/>
  <c r="AP62" i="7"/>
  <c r="AO62" i="7"/>
  <c r="AN62" i="7"/>
  <c r="AL62" i="7"/>
  <c r="AG62" i="7"/>
  <c r="AE62" i="7"/>
  <c r="AC62" i="7"/>
  <c r="W62" i="7"/>
  <c r="AP61" i="7"/>
  <c r="AO61" i="7"/>
  <c r="AN61" i="7"/>
  <c r="AL61" i="7"/>
  <c r="AG61" i="7"/>
  <c r="AE61" i="7"/>
  <c r="AC61" i="7"/>
  <c r="W61" i="7"/>
  <c r="AP60" i="7"/>
  <c r="AO60" i="7"/>
  <c r="AN60" i="7"/>
  <c r="AL60" i="7"/>
  <c r="AG60" i="7"/>
  <c r="AE60" i="7"/>
  <c r="AF60" i="7" s="1"/>
  <c r="AC60" i="7"/>
  <c r="W60" i="7"/>
  <c r="AP59" i="7"/>
  <c r="AO59" i="7"/>
  <c r="AN59" i="7"/>
  <c r="AL59" i="7"/>
  <c r="AG59" i="7"/>
  <c r="AE59" i="7"/>
  <c r="AF59" i="7" s="1"/>
  <c r="AC59" i="7"/>
  <c r="W59" i="7"/>
  <c r="AP58" i="7"/>
  <c r="AO58" i="7"/>
  <c r="AN58" i="7"/>
  <c r="AL58" i="7"/>
  <c r="AG58" i="7"/>
  <c r="AE58" i="7"/>
  <c r="AF58" i="7" s="1"/>
  <c r="AC58" i="7"/>
  <c r="W58" i="7"/>
  <c r="AP57" i="7"/>
  <c r="AO57" i="7"/>
  <c r="AN57" i="7"/>
  <c r="AL57" i="7"/>
  <c r="AG57" i="7"/>
  <c r="AE57" i="7"/>
  <c r="AC57" i="7"/>
  <c r="W57" i="7"/>
  <c r="AP56" i="7"/>
  <c r="AO56" i="7"/>
  <c r="AN56" i="7"/>
  <c r="AL56" i="7"/>
  <c r="AG56" i="7"/>
  <c r="AE56" i="7"/>
  <c r="AC56" i="7"/>
  <c r="W56" i="7"/>
  <c r="AP55" i="7"/>
  <c r="AO55" i="7"/>
  <c r="AN55" i="7"/>
  <c r="AL55" i="7"/>
  <c r="AG55" i="7"/>
  <c r="AE55" i="7"/>
  <c r="AF55" i="7" s="1"/>
  <c r="AC55" i="7"/>
  <c r="W55" i="7"/>
  <c r="AP54" i="7"/>
  <c r="AO54" i="7"/>
  <c r="AN54" i="7"/>
  <c r="AL54" i="7"/>
  <c r="AG54" i="7"/>
  <c r="AE54" i="7"/>
  <c r="AF54" i="7" s="1"/>
  <c r="AC54" i="7"/>
  <c r="W54" i="7"/>
  <c r="AP53" i="7"/>
  <c r="AO53" i="7"/>
  <c r="AN53" i="7"/>
  <c r="AL53" i="7"/>
  <c r="AG53" i="7"/>
  <c r="AE53" i="7"/>
  <c r="AF53" i="7" s="1"/>
  <c r="AC53" i="7"/>
  <c r="W53" i="7"/>
  <c r="AP52" i="7"/>
  <c r="AO52" i="7"/>
  <c r="AN52" i="7"/>
  <c r="AL52" i="7"/>
  <c r="AG52" i="7"/>
  <c r="AE52" i="7"/>
  <c r="AF52" i="7" s="1"/>
  <c r="AC52" i="7"/>
  <c r="W52" i="7"/>
  <c r="AP51" i="7"/>
  <c r="AO51" i="7"/>
  <c r="AN51" i="7"/>
  <c r="AL51" i="7"/>
  <c r="AG51" i="7"/>
  <c r="AE51" i="7"/>
  <c r="AF51" i="7" s="1"/>
  <c r="AC51" i="7"/>
  <c r="W51" i="7"/>
  <c r="AP50" i="7"/>
  <c r="AO50" i="7"/>
  <c r="AN50" i="7"/>
  <c r="AL50" i="7"/>
  <c r="AG50" i="7"/>
  <c r="AE50" i="7"/>
  <c r="AF50" i="7" s="1"/>
  <c r="AC50" i="7"/>
  <c r="W50" i="7"/>
  <c r="AP49" i="7"/>
  <c r="AO49" i="7"/>
  <c r="AN49" i="7"/>
  <c r="AL49" i="7"/>
  <c r="AG49" i="7"/>
  <c r="AE49" i="7"/>
  <c r="AF49" i="7" s="1"/>
  <c r="AC49" i="7"/>
  <c r="W49" i="7"/>
  <c r="AP48" i="7"/>
  <c r="AO48" i="7"/>
  <c r="AN48" i="7"/>
  <c r="AL48" i="7"/>
  <c r="AG48" i="7"/>
  <c r="AE48" i="7"/>
  <c r="AC48" i="7"/>
  <c r="W48" i="7"/>
  <c r="AP47" i="7"/>
  <c r="AO47" i="7"/>
  <c r="AN47" i="7"/>
  <c r="AL47" i="7"/>
  <c r="AG47" i="7"/>
  <c r="AE47" i="7"/>
  <c r="AF47" i="7" s="1"/>
  <c r="AC47" i="7"/>
  <c r="W47" i="7"/>
  <c r="AP46" i="7"/>
  <c r="AO46" i="7"/>
  <c r="AN46" i="7"/>
  <c r="AL46" i="7"/>
  <c r="AG46" i="7"/>
  <c r="AE46" i="7"/>
  <c r="AF46" i="7" s="1"/>
  <c r="AC46" i="7"/>
  <c r="W46" i="7"/>
  <c r="AP45" i="7"/>
  <c r="AO45" i="7"/>
  <c r="AN45" i="7"/>
  <c r="AL45" i="7"/>
  <c r="AG45" i="7"/>
  <c r="AE45" i="7"/>
  <c r="AF45" i="7" s="1"/>
  <c r="AC45" i="7"/>
  <c r="W45" i="7"/>
  <c r="AP44" i="7"/>
  <c r="AO44" i="7"/>
  <c r="AN44" i="7"/>
  <c r="AL44" i="7"/>
  <c r="AG44" i="7"/>
  <c r="AE44" i="7"/>
  <c r="AF44" i="7" s="1"/>
  <c r="AC44" i="7"/>
  <c r="W44" i="7"/>
  <c r="AP43" i="7"/>
  <c r="AO43" i="7"/>
  <c r="AN43" i="7"/>
  <c r="AL43" i="7"/>
  <c r="AG43" i="7"/>
  <c r="AE43" i="7"/>
  <c r="AF43" i="7" s="1"/>
  <c r="AC43" i="7"/>
  <c r="W43" i="7"/>
  <c r="AP42" i="7"/>
  <c r="AO42" i="7"/>
  <c r="AN42" i="7"/>
  <c r="AL42" i="7"/>
  <c r="AG42" i="7"/>
  <c r="AE42" i="7"/>
  <c r="AF42" i="7" s="1"/>
  <c r="AC42" i="7"/>
  <c r="W42" i="7"/>
  <c r="AP41" i="7"/>
  <c r="AO41" i="7"/>
  <c r="AN41" i="7"/>
  <c r="AL41" i="7"/>
  <c r="AG41" i="7"/>
  <c r="AE41" i="7"/>
  <c r="AF41" i="7" s="1"/>
  <c r="AC41" i="7"/>
  <c r="W41" i="7"/>
  <c r="AP40" i="7"/>
  <c r="AO40" i="7"/>
  <c r="AN40" i="7"/>
  <c r="AL40" i="7"/>
  <c r="AG40" i="7"/>
  <c r="AE40" i="7"/>
  <c r="AF40" i="7" s="1"/>
  <c r="AC40" i="7"/>
  <c r="W40" i="7"/>
  <c r="AP39" i="7"/>
  <c r="AO39" i="7"/>
  <c r="AN39" i="7"/>
  <c r="AL39" i="7"/>
  <c r="AG39" i="7"/>
  <c r="AE39" i="7"/>
  <c r="AF39" i="7" s="1"/>
  <c r="AC39" i="7"/>
  <c r="W39" i="7"/>
  <c r="AP38" i="7"/>
  <c r="AO38" i="7"/>
  <c r="AN38" i="7"/>
  <c r="AL38" i="7"/>
  <c r="AG38" i="7"/>
  <c r="AE38" i="7"/>
  <c r="AF38" i="7" s="1"/>
  <c r="W38" i="7"/>
  <c r="AP37" i="7"/>
  <c r="AO37" i="7"/>
  <c r="AN37" i="7"/>
  <c r="AL37" i="7"/>
  <c r="AG37" i="7"/>
  <c r="AE37" i="7"/>
  <c r="AF37" i="7" s="1"/>
  <c r="AC37" i="7"/>
  <c r="W37" i="7"/>
  <c r="AP36" i="7"/>
  <c r="AO36" i="7"/>
  <c r="AN36" i="7"/>
  <c r="AL36" i="7"/>
  <c r="AG36" i="7"/>
  <c r="AE36" i="7"/>
  <c r="AF36" i="7" s="1"/>
  <c r="AC36" i="7"/>
  <c r="W36" i="7"/>
  <c r="AP35" i="7"/>
  <c r="AO35" i="7"/>
  <c r="AN35" i="7"/>
  <c r="AL35" i="7"/>
  <c r="AG35" i="7"/>
  <c r="AE35" i="7"/>
  <c r="AF35" i="7" s="1"/>
  <c r="AC35" i="7"/>
  <c r="W35" i="7"/>
  <c r="AP34" i="7"/>
  <c r="AO34" i="7"/>
  <c r="AN34" i="7"/>
  <c r="AL34" i="7"/>
  <c r="AG34" i="7"/>
  <c r="AE34" i="7"/>
  <c r="AF34" i="7" s="1"/>
  <c r="AC34" i="7"/>
  <c r="W34" i="7"/>
  <c r="AP33" i="7"/>
  <c r="AO33" i="7"/>
  <c r="AN33" i="7"/>
  <c r="AL33" i="7"/>
  <c r="AG33" i="7"/>
  <c r="AE33" i="7"/>
  <c r="AF33" i="7" s="1"/>
  <c r="AC33" i="7"/>
  <c r="W33" i="7"/>
  <c r="AP32" i="7"/>
  <c r="AO32" i="7"/>
  <c r="AN32" i="7"/>
  <c r="AL32" i="7"/>
  <c r="AG32" i="7"/>
  <c r="AE32" i="7"/>
  <c r="AF32" i="7" s="1"/>
  <c r="AC32" i="7"/>
  <c r="W32" i="7"/>
  <c r="AP31" i="7"/>
  <c r="AO31" i="7"/>
  <c r="AN31" i="7"/>
  <c r="AL31" i="7"/>
  <c r="AG31" i="7"/>
  <c r="AE31" i="7"/>
  <c r="AF31" i="7" s="1"/>
  <c r="AC31" i="7"/>
  <c r="W31" i="7"/>
  <c r="AP30" i="7"/>
  <c r="AO30" i="7"/>
  <c r="AN30" i="7"/>
  <c r="AL30" i="7"/>
  <c r="AG30" i="7"/>
  <c r="AE30" i="7"/>
  <c r="AC30" i="7"/>
  <c r="W30" i="7"/>
  <c r="AP29" i="7"/>
  <c r="AO29" i="7"/>
  <c r="AN29" i="7"/>
  <c r="AL29" i="7"/>
  <c r="AG29" i="7"/>
  <c r="AE29" i="7"/>
  <c r="AF29" i="7" s="1"/>
  <c r="AC29" i="7"/>
  <c r="W29" i="7"/>
  <c r="AP28" i="7"/>
  <c r="AO28" i="7"/>
  <c r="AN28" i="7"/>
  <c r="AL28" i="7"/>
  <c r="AG28" i="7"/>
  <c r="AE28" i="7"/>
  <c r="AC28" i="7"/>
  <c r="W28" i="7"/>
  <c r="AP27" i="7"/>
  <c r="AO27" i="7"/>
  <c r="AN27" i="7"/>
  <c r="AL27" i="7"/>
  <c r="AG27" i="7"/>
  <c r="AE27" i="7"/>
  <c r="AF27" i="7" s="1"/>
  <c r="W27" i="7"/>
  <c r="AP26" i="7"/>
  <c r="AO26" i="7"/>
  <c r="AN26" i="7"/>
  <c r="AL26" i="7"/>
  <c r="AG26" i="7"/>
  <c r="AE26" i="7"/>
  <c r="AF26" i="7" s="1"/>
  <c r="AC26" i="7"/>
  <c r="W26" i="7"/>
  <c r="AP25" i="7"/>
  <c r="AO25" i="7"/>
  <c r="AN25" i="7"/>
  <c r="AL25" i="7"/>
  <c r="AG25" i="7"/>
  <c r="AE25" i="7"/>
  <c r="AF25" i="7" s="1"/>
  <c r="W25" i="7"/>
  <c r="AP24" i="7"/>
  <c r="AO24" i="7"/>
  <c r="AN24" i="7"/>
  <c r="AL24" i="7"/>
  <c r="AG24" i="7"/>
  <c r="AE24" i="7"/>
  <c r="AF24" i="7" s="1"/>
  <c r="W24" i="7"/>
  <c r="AP23" i="7"/>
  <c r="AO23" i="7"/>
  <c r="AN23" i="7"/>
  <c r="AL23" i="7"/>
  <c r="AG23" i="7"/>
  <c r="AE23" i="7"/>
  <c r="AF23" i="7" s="1"/>
  <c r="W23" i="7"/>
  <c r="AP22" i="7"/>
  <c r="AO22" i="7"/>
  <c r="AN22" i="7"/>
  <c r="AL22" i="7"/>
  <c r="AG22" i="7"/>
  <c r="AE22" i="7"/>
  <c r="W22" i="7"/>
  <c r="AP21" i="7"/>
  <c r="AO21" i="7"/>
  <c r="AN21" i="7"/>
  <c r="AL21" i="7"/>
  <c r="AG21" i="7"/>
  <c r="AE21" i="7"/>
  <c r="AF21" i="7" s="1"/>
  <c r="AC21" i="7"/>
  <c r="W21" i="7"/>
  <c r="AP20" i="7"/>
  <c r="AO20" i="7"/>
  <c r="AN20" i="7"/>
  <c r="AL20" i="7"/>
  <c r="AG20" i="7"/>
  <c r="AE20" i="7"/>
  <c r="AC20" i="7"/>
  <c r="W20" i="7"/>
  <c r="AP19" i="7"/>
  <c r="AO19" i="7"/>
  <c r="AN19" i="7"/>
  <c r="AL19" i="7"/>
  <c r="AG19" i="7"/>
  <c r="AE19" i="7"/>
  <c r="AC19" i="7"/>
  <c r="W19" i="7"/>
  <c r="AP18" i="7"/>
  <c r="AO18" i="7"/>
  <c r="AN18" i="7"/>
  <c r="AL18" i="7"/>
  <c r="AG18" i="7"/>
  <c r="AE18" i="7"/>
  <c r="AC18" i="7"/>
  <c r="W18" i="7"/>
  <c r="AP17" i="7"/>
  <c r="AO17" i="7"/>
  <c r="AN17" i="7"/>
  <c r="AL17" i="7"/>
  <c r="AG17" i="7"/>
  <c r="AE17" i="7"/>
  <c r="AF17" i="7" s="1"/>
  <c r="AC17" i="7"/>
  <c r="W17" i="7"/>
  <c r="AP16" i="7"/>
  <c r="AO16" i="7"/>
  <c r="AN16" i="7"/>
  <c r="AL16" i="7"/>
  <c r="AG16" i="7"/>
  <c r="AE16" i="7"/>
  <c r="AF16" i="7" s="1"/>
  <c r="W16" i="7"/>
  <c r="AP15" i="7"/>
  <c r="AO15" i="7"/>
  <c r="AN15" i="7"/>
  <c r="AL15" i="7"/>
  <c r="AG15" i="7"/>
  <c r="AE15" i="7"/>
  <c r="AF15" i="7" s="1"/>
  <c r="AC15" i="7"/>
  <c r="W15" i="7"/>
  <c r="AP14" i="7"/>
  <c r="AO14" i="7"/>
  <c r="AN14" i="7"/>
  <c r="AL14" i="7"/>
  <c r="AG14" i="7"/>
  <c r="AE14" i="7"/>
  <c r="AF14" i="7" s="1"/>
  <c r="AC14" i="7"/>
  <c r="W14" i="7"/>
  <c r="AP13" i="7"/>
  <c r="AO13" i="7"/>
  <c r="AN13" i="7"/>
  <c r="AL13" i="7"/>
  <c r="AG13" i="7"/>
  <c r="AE13" i="7"/>
  <c r="AF13" i="7" s="1"/>
  <c r="AC13" i="7"/>
  <c r="W13" i="7"/>
  <c r="AP12" i="7"/>
  <c r="AO12" i="7"/>
  <c r="AN12" i="7"/>
  <c r="AL12" i="7"/>
  <c r="AG12" i="7"/>
  <c r="AE12" i="7"/>
  <c r="AC12" i="7"/>
  <c r="W12" i="7"/>
  <c r="AP11" i="7"/>
  <c r="AO11" i="7"/>
  <c r="AN11" i="7"/>
  <c r="AL11" i="7"/>
  <c r="AG11" i="7"/>
  <c r="AE11" i="7"/>
  <c r="AC11" i="7"/>
  <c r="W11" i="7"/>
  <c r="AP10" i="7"/>
  <c r="AO10" i="7"/>
  <c r="AN10" i="7"/>
  <c r="AL10" i="7"/>
  <c r="AG10" i="7"/>
  <c r="AE10" i="7"/>
  <c r="AC10" i="7"/>
  <c r="W10" i="7"/>
  <c r="AP9" i="7"/>
  <c r="AO9" i="7"/>
  <c r="AN9" i="7"/>
  <c r="AL9" i="7"/>
  <c r="AG9" i="7"/>
  <c r="AE9" i="7"/>
  <c r="AC9" i="7"/>
  <c r="W9" i="7"/>
  <c r="AP8" i="7"/>
  <c r="AO8" i="7"/>
  <c r="AN8" i="7"/>
  <c r="AL8" i="7"/>
  <c r="AG8" i="7"/>
  <c r="AE8" i="7"/>
  <c r="AF8" i="7" s="1"/>
  <c r="AC8" i="7"/>
  <c r="W8" i="7"/>
  <c r="AP7" i="7"/>
  <c r="AO7" i="7"/>
  <c r="AN7" i="7"/>
  <c r="AL7" i="7"/>
  <c r="AG7" i="7"/>
  <c r="AE7" i="7"/>
  <c r="AF7" i="7" s="1"/>
  <c r="W7" i="7"/>
  <c r="AP34" i="1"/>
  <c r="AL34" i="1"/>
  <c r="AM34" i="1" s="1"/>
  <c r="AN34" i="1"/>
  <c r="AG34" i="1"/>
  <c r="AO34" i="1"/>
  <c r="AN68" i="1"/>
  <c r="AN67" i="1"/>
  <c r="AN111" i="1"/>
  <c r="AN5" i="1"/>
  <c r="AN6" i="1"/>
  <c r="AN7" i="1"/>
  <c r="AN37" i="1"/>
  <c r="AN112" i="1"/>
  <c r="AN38" i="1"/>
  <c r="AN69" i="1"/>
  <c r="AN39" i="1"/>
  <c r="AN8" i="1"/>
  <c r="AN9" i="1"/>
  <c r="AN10" i="1"/>
  <c r="AN11" i="1"/>
  <c r="AN70" i="1"/>
  <c r="AN40" i="1"/>
  <c r="AN12" i="1"/>
  <c r="AN13" i="1"/>
  <c r="AN71" i="1"/>
  <c r="AN72" i="1"/>
  <c r="AN14" i="1"/>
  <c r="AN41" i="1"/>
  <c r="AN113" i="1"/>
  <c r="AN153" i="1"/>
  <c r="AN154" i="1"/>
  <c r="AN155" i="1"/>
  <c r="AN156" i="1"/>
  <c r="AN42" i="1"/>
  <c r="AN15" i="1"/>
  <c r="AN73" i="1"/>
  <c r="AN114" i="1"/>
  <c r="AN16" i="1"/>
  <c r="AN74" i="1"/>
  <c r="AN135" i="1"/>
  <c r="AN139" i="1"/>
  <c r="AN143" i="1"/>
  <c r="AN157" i="1"/>
  <c r="AN43" i="1"/>
  <c r="AN158" i="1"/>
  <c r="AN159" i="1"/>
  <c r="AN160" i="1"/>
  <c r="AN161" i="1"/>
  <c r="AN162" i="1"/>
  <c r="AN44" i="1"/>
  <c r="AN45" i="1"/>
  <c r="AN130" i="1"/>
  <c r="AN137" i="1"/>
  <c r="AN141" i="1"/>
  <c r="AN145" i="1"/>
  <c r="AN148" i="1"/>
  <c r="AN151" i="1"/>
  <c r="AN152" i="1"/>
  <c r="AN17" i="1"/>
  <c r="AN46" i="1"/>
  <c r="AN163" i="1"/>
  <c r="AN47" i="1"/>
  <c r="AN75" i="1"/>
  <c r="AN76" i="1"/>
  <c r="AN77" i="1"/>
  <c r="AN78" i="1"/>
  <c r="AN48" i="1"/>
  <c r="AN164" i="1"/>
  <c r="AN79" i="1"/>
  <c r="AN80" i="1"/>
  <c r="AN81" i="1"/>
  <c r="AN49" i="1"/>
  <c r="AN165" i="1"/>
  <c r="AN50" i="1"/>
  <c r="AN51" i="1"/>
  <c r="AN82" i="1"/>
  <c r="AN52" i="1"/>
  <c r="AN83" i="1"/>
  <c r="AN84" i="1"/>
  <c r="AN18" i="1"/>
  <c r="AN85" i="1"/>
  <c r="AN86" i="1"/>
  <c r="AN53" i="1"/>
  <c r="AN87" i="1"/>
  <c r="AN88" i="1"/>
  <c r="AN54" i="1"/>
  <c r="AN127" i="1"/>
  <c r="AN89" i="1"/>
  <c r="AN90" i="1"/>
  <c r="AN91" i="1"/>
  <c r="AN92" i="1"/>
  <c r="AN55" i="1"/>
  <c r="AN19" i="1"/>
  <c r="AN93" i="1"/>
  <c r="AN94" i="1"/>
  <c r="AN56" i="1"/>
  <c r="AN95" i="1"/>
  <c r="AN96" i="1"/>
  <c r="AN97" i="1"/>
  <c r="AN98" i="1"/>
  <c r="AN128" i="1"/>
  <c r="AN20" i="1"/>
  <c r="AN131" i="1"/>
  <c r="AN21" i="1"/>
  <c r="AN57" i="1"/>
  <c r="AN22" i="1"/>
  <c r="AN23" i="1"/>
  <c r="AN58" i="1"/>
  <c r="AN24" i="1"/>
  <c r="AN25" i="1"/>
  <c r="AN99" i="1"/>
  <c r="AN59" i="1"/>
  <c r="AN60" i="1"/>
  <c r="AN26" i="1"/>
  <c r="AN100" i="1"/>
  <c r="AN61" i="1"/>
  <c r="AN27" i="1"/>
  <c r="AN101" i="1"/>
  <c r="AN102" i="1"/>
  <c r="AN28" i="1"/>
  <c r="AN29" i="1"/>
  <c r="AN103" i="1"/>
  <c r="AN104" i="1"/>
  <c r="AN62" i="1"/>
  <c r="AN63" i="1"/>
  <c r="AN30" i="1"/>
  <c r="AN105" i="1"/>
  <c r="AN129" i="1"/>
  <c r="AN132" i="1"/>
  <c r="AN136" i="1"/>
  <c r="AN138" i="1"/>
  <c r="AN140" i="1"/>
  <c r="AN142" i="1"/>
  <c r="AN144" i="1"/>
  <c r="AN146" i="1"/>
  <c r="AN147" i="1"/>
  <c r="AN149" i="1"/>
  <c r="AN150" i="1"/>
  <c r="AN64" i="1"/>
  <c r="AN31" i="1"/>
  <c r="AN32" i="1"/>
  <c r="AN106" i="1"/>
  <c r="AN65" i="1"/>
  <c r="AN33" i="1"/>
  <c r="AN107" i="1"/>
  <c r="AN133" i="1"/>
  <c r="AN134" i="1"/>
  <c r="AN35" i="1"/>
  <c r="AN108" i="1"/>
  <c r="AN66" i="1"/>
  <c r="AN109" i="1"/>
  <c r="AN166" i="1"/>
  <c r="AN110" i="1"/>
  <c r="AN167" i="1"/>
  <c r="AN36" i="1"/>
  <c r="AN4" i="1"/>
  <c r="AP6" i="7"/>
  <c r="AO6" i="7"/>
  <c r="AL6" i="7"/>
  <c r="AG6" i="7"/>
  <c r="AE6" i="7"/>
  <c r="W6" i="7"/>
  <c r="AP5" i="7"/>
  <c r="AO5" i="7"/>
  <c r="AL5" i="7"/>
  <c r="AG5" i="7"/>
  <c r="AE5" i="7"/>
  <c r="AC5" i="7"/>
  <c r="W5" i="7"/>
  <c r="AP9" i="1"/>
  <c r="AO9" i="1"/>
  <c r="AL9" i="1"/>
  <c r="AG9" i="1"/>
  <c r="AE9" i="1"/>
  <c r="W9" i="1"/>
  <c r="AP4" i="7"/>
  <c r="AO4" i="7"/>
  <c r="AL4" i="7"/>
  <c r="AG4" i="7"/>
  <c r="AE4" i="7"/>
  <c r="AC4" i="7"/>
  <c r="W4" i="7"/>
  <c r="AP3" i="7"/>
  <c r="AO3" i="7"/>
  <c r="AL3" i="7"/>
  <c r="AG3" i="7"/>
  <c r="AE3" i="7"/>
  <c r="AC3" i="7"/>
  <c r="W3" i="7"/>
  <c r="AP2" i="7"/>
  <c r="AO2" i="7"/>
  <c r="AL2" i="7"/>
  <c r="AG2" i="7"/>
  <c r="AE2" i="7"/>
  <c r="AC2" i="7"/>
  <c r="W2" i="7"/>
  <c r="W15" i="1"/>
  <c r="AE15" i="1"/>
  <c r="AG15" i="1"/>
  <c r="AL15" i="1"/>
  <c r="AM15" i="1" s="1"/>
  <c r="AO15" i="1"/>
  <c r="AP15" i="1"/>
  <c r="W73" i="1"/>
  <c r="AE73" i="1"/>
  <c r="AG73" i="1"/>
  <c r="AL73" i="1"/>
  <c r="AM73" i="1" s="1"/>
  <c r="AO73" i="1"/>
  <c r="AP73" i="1"/>
  <c r="B11" i="4" a="1"/>
  <c r="AP36" i="1"/>
  <c r="AL36" i="1"/>
  <c r="AO36" i="1"/>
  <c r="R2" i="1"/>
  <c r="Q2" i="1"/>
  <c r="P2" i="1"/>
  <c r="O2" i="1"/>
  <c r="AP167" i="1"/>
  <c r="AO167" i="1"/>
  <c r="AL167" i="1"/>
  <c r="AL110" i="1"/>
  <c r="W167" i="1"/>
  <c r="AL127" i="1"/>
  <c r="AP110" i="1"/>
  <c r="AO110" i="1"/>
  <c r="AG110" i="1"/>
  <c r="AE110" i="1"/>
  <c r="W110" i="1"/>
  <c r="AP166" i="1"/>
  <c r="AO166" i="1"/>
  <c r="AL166" i="1"/>
  <c r="AG166" i="1"/>
  <c r="AE166" i="1"/>
  <c r="W166" i="1"/>
  <c r="AO109" i="1"/>
  <c r="AO66" i="1"/>
  <c r="AE109" i="1"/>
  <c r="AE66" i="1"/>
  <c r="W109" i="1"/>
  <c r="AG109" i="1"/>
  <c r="AG66" i="1"/>
  <c r="AG108" i="1"/>
  <c r="AL109" i="1"/>
  <c r="B109" i="1"/>
  <c r="AL66" i="1"/>
  <c r="W66" i="1"/>
  <c r="W162" i="1"/>
  <c r="AE35" i="1"/>
  <c r="AE108" i="1"/>
  <c r="V69" i="1"/>
  <c r="W69" i="1" s="1"/>
  <c r="AL4" i="1"/>
  <c r="AL67" i="1"/>
  <c r="AL111" i="1"/>
  <c r="AL5" i="1"/>
  <c r="AL6" i="1"/>
  <c r="AL68" i="1"/>
  <c r="AL7" i="1"/>
  <c r="AL37" i="1"/>
  <c r="AL112" i="1"/>
  <c r="AL38" i="1"/>
  <c r="AL69" i="1"/>
  <c r="AL39" i="1"/>
  <c r="AL8" i="1"/>
  <c r="AL10" i="1"/>
  <c r="AL11" i="1"/>
  <c r="AL70" i="1"/>
  <c r="AL40" i="1"/>
  <c r="AL12" i="1"/>
  <c r="AL13" i="1"/>
  <c r="AL71" i="1"/>
  <c r="AL72" i="1"/>
  <c r="AL14" i="1"/>
  <c r="AL41" i="1"/>
  <c r="AL113" i="1"/>
  <c r="AL153" i="1"/>
  <c r="AL154" i="1"/>
  <c r="AL155" i="1"/>
  <c r="AL156" i="1"/>
  <c r="AL42" i="1"/>
  <c r="AL114" i="1"/>
  <c r="AL16" i="1"/>
  <c r="AL74" i="1"/>
  <c r="AL135" i="1"/>
  <c r="AL139" i="1"/>
  <c r="AL143" i="1"/>
  <c r="AL157" i="1"/>
  <c r="AL43" i="1"/>
  <c r="AL158" i="1"/>
  <c r="AL159" i="1"/>
  <c r="AL160" i="1"/>
  <c r="AL161" i="1"/>
  <c r="AL162" i="1"/>
  <c r="AL44" i="1"/>
  <c r="AL45" i="1"/>
  <c r="AL130" i="1"/>
  <c r="AL137" i="1"/>
  <c r="AL141" i="1"/>
  <c r="AL145" i="1"/>
  <c r="AL148" i="1"/>
  <c r="AL151" i="1"/>
  <c r="AL152" i="1"/>
  <c r="AL17" i="1"/>
  <c r="AL46" i="1"/>
  <c r="AL163" i="1"/>
  <c r="AL47" i="1"/>
  <c r="AL75" i="1"/>
  <c r="AL76" i="1"/>
  <c r="AL77" i="1"/>
  <c r="AL78" i="1"/>
  <c r="AL48" i="1"/>
  <c r="AL164" i="1"/>
  <c r="AL79" i="1"/>
  <c r="AL80" i="1"/>
  <c r="AL81" i="1"/>
  <c r="AL49" i="1"/>
  <c r="AL165" i="1"/>
  <c r="AL50" i="1"/>
  <c r="AL51" i="1"/>
  <c r="AL82" i="1"/>
  <c r="AL52" i="1"/>
  <c r="AL83" i="1"/>
  <c r="AL84" i="1"/>
  <c r="AL18" i="1"/>
  <c r="AL85" i="1"/>
  <c r="AL86" i="1"/>
  <c r="AL53" i="1"/>
  <c r="AL87" i="1"/>
  <c r="AL88" i="1"/>
  <c r="AL54" i="1"/>
  <c r="AL89" i="1"/>
  <c r="AL90" i="1"/>
  <c r="AL91" i="1"/>
  <c r="AL92" i="1"/>
  <c r="AL55" i="1"/>
  <c r="AL19" i="1"/>
  <c r="AL93" i="1"/>
  <c r="AL94" i="1"/>
  <c r="AL56" i="1"/>
  <c r="AL95" i="1"/>
  <c r="AL96" i="1"/>
  <c r="AL97" i="1"/>
  <c r="AL98" i="1"/>
  <c r="AL128" i="1"/>
  <c r="AL20" i="1"/>
  <c r="AL131" i="1"/>
  <c r="AL21" i="1"/>
  <c r="AL57" i="1"/>
  <c r="AL22" i="1"/>
  <c r="AL58" i="1"/>
  <c r="AL24" i="1"/>
  <c r="AL25" i="1"/>
  <c r="AL99" i="1"/>
  <c r="AL59" i="1"/>
  <c r="AL60" i="1"/>
  <c r="AL26" i="1"/>
  <c r="AL100" i="1"/>
  <c r="AL61" i="1"/>
  <c r="AL27" i="1"/>
  <c r="AL101" i="1"/>
  <c r="AL102" i="1"/>
  <c r="AL28" i="1"/>
  <c r="AL29" i="1"/>
  <c r="AL103" i="1"/>
  <c r="AL104" i="1"/>
  <c r="AL62" i="1"/>
  <c r="AL63" i="1"/>
  <c r="AL30" i="1"/>
  <c r="AL105" i="1"/>
  <c r="AL129" i="1"/>
  <c r="AL132" i="1"/>
  <c r="AL136" i="1"/>
  <c r="AL138" i="1"/>
  <c r="AL140" i="1"/>
  <c r="AL142" i="1"/>
  <c r="AL144" i="1"/>
  <c r="AL146" i="1"/>
  <c r="AL147" i="1"/>
  <c r="AL149" i="1"/>
  <c r="AL150" i="1"/>
  <c r="AL64" i="1"/>
  <c r="AL31" i="1"/>
  <c r="AL32" i="1"/>
  <c r="AL106" i="1"/>
  <c r="AL65" i="1"/>
  <c r="AL33" i="1"/>
  <c r="AL107" i="1"/>
  <c r="AL133" i="1"/>
  <c r="AL134" i="1"/>
  <c r="AL35" i="1"/>
  <c r="AL108" i="1"/>
  <c r="AE4" i="1"/>
  <c r="AE67" i="1"/>
  <c r="AE111" i="1"/>
  <c r="AE5" i="1"/>
  <c r="AE6" i="1"/>
  <c r="AE68" i="1"/>
  <c r="AE7" i="1"/>
  <c r="AE37" i="1"/>
  <c r="AE112" i="1"/>
  <c r="AE38" i="1"/>
  <c r="AE69" i="1"/>
  <c r="AE39" i="1"/>
  <c r="AE8" i="1"/>
  <c r="AE10" i="1"/>
  <c r="AE11" i="1"/>
  <c r="AE70" i="1"/>
  <c r="AE40" i="1"/>
  <c r="AE12" i="1"/>
  <c r="AE13" i="1"/>
  <c r="AE71" i="1"/>
  <c r="AE72" i="1"/>
  <c r="AE14" i="1"/>
  <c r="AE41" i="1"/>
  <c r="AE113" i="1"/>
  <c r="AE153" i="1"/>
  <c r="AE154" i="1"/>
  <c r="AE155" i="1"/>
  <c r="AE156" i="1"/>
  <c r="AE42" i="1"/>
  <c r="AE114" i="1"/>
  <c r="AE16" i="1"/>
  <c r="AE74" i="1"/>
  <c r="AE135" i="1"/>
  <c r="AE139" i="1"/>
  <c r="AE143" i="1"/>
  <c r="AE157" i="1"/>
  <c r="AE43" i="1"/>
  <c r="AE158" i="1"/>
  <c r="AE159" i="1"/>
  <c r="AE160" i="1"/>
  <c r="AE161" i="1"/>
  <c r="AE162" i="1"/>
  <c r="AE44" i="1"/>
  <c r="AE45" i="1"/>
  <c r="AE130" i="1"/>
  <c r="AE137" i="1"/>
  <c r="AE141" i="1"/>
  <c r="AE145" i="1"/>
  <c r="AE148" i="1"/>
  <c r="AE151" i="1"/>
  <c r="AE152" i="1"/>
  <c r="AE17" i="1"/>
  <c r="AE46" i="1"/>
  <c r="AE163" i="1"/>
  <c r="AE47" i="1"/>
  <c r="AE75" i="1"/>
  <c r="AE76" i="1"/>
  <c r="AE77" i="1"/>
  <c r="AE78" i="1"/>
  <c r="AE48" i="1"/>
  <c r="AE164" i="1"/>
  <c r="AE79" i="1"/>
  <c r="AE80" i="1"/>
  <c r="AE81" i="1"/>
  <c r="AE49" i="1"/>
  <c r="AE165" i="1"/>
  <c r="AE50" i="1"/>
  <c r="AE51" i="1"/>
  <c r="AE82" i="1"/>
  <c r="AE52" i="1"/>
  <c r="AE83" i="1"/>
  <c r="AE84" i="1"/>
  <c r="AE18" i="1"/>
  <c r="AE85" i="1"/>
  <c r="AE86" i="1"/>
  <c r="AE53" i="1"/>
  <c r="AE87" i="1"/>
  <c r="AE88" i="1"/>
  <c r="AE54" i="1"/>
  <c r="AE127" i="1"/>
  <c r="AE89" i="1"/>
  <c r="AE90" i="1"/>
  <c r="AE91" i="1"/>
  <c r="AE92" i="1"/>
  <c r="AE55" i="1"/>
  <c r="AE19" i="1"/>
  <c r="AE93" i="1"/>
  <c r="AE94" i="1"/>
  <c r="AE56" i="1"/>
  <c r="AE95" i="1"/>
  <c r="AE96" i="1"/>
  <c r="AE97" i="1"/>
  <c r="AE98" i="1"/>
  <c r="AE128" i="1"/>
  <c r="AE20" i="1"/>
  <c r="AE131" i="1"/>
  <c r="AE21" i="1"/>
  <c r="AE57" i="1"/>
  <c r="AE22" i="1"/>
  <c r="AE23" i="1"/>
  <c r="AE58" i="1"/>
  <c r="AE24" i="1"/>
  <c r="AE25" i="1"/>
  <c r="AE99" i="1"/>
  <c r="AE59" i="1"/>
  <c r="AE60" i="1"/>
  <c r="AE26" i="1"/>
  <c r="AE100" i="1"/>
  <c r="AE61" i="1"/>
  <c r="AE27" i="1"/>
  <c r="AE101" i="1"/>
  <c r="AE102" i="1"/>
  <c r="AE28" i="1"/>
  <c r="AE29" i="1"/>
  <c r="AE103" i="1"/>
  <c r="AE104" i="1"/>
  <c r="AE62" i="1"/>
  <c r="AE63" i="1"/>
  <c r="AE30" i="1"/>
  <c r="AE105" i="1"/>
  <c r="AE129" i="1"/>
  <c r="AE132" i="1"/>
  <c r="AE136" i="1"/>
  <c r="AE138" i="1"/>
  <c r="AE140" i="1"/>
  <c r="AE142" i="1"/>
  <c r="AE144" i="1"/>
  <c r="AE146" i="1"/>
  <c r="AE147" i="1"/>
  <c r="AE149" i="1"/>
  <c r="AE150" i="1"/>
  <c r="AE64" i="1"/>
  <c r="AE31" i="1"/>
  <c r="AE32" i="1"/>
  <c r="AE106" i="1"/>
  <c r="AE65" i="1"/>
  <c r="AE33" i="1"/>
  <c r="AE107" i="1"/>
  <c r="AE133" i="1"/>
  <c r="AE134" i="1"/>
  <c r="W156" i="1"/>
  <c r="W82" i="1"/>
  <c r="W155" i="1"/>
  <c r="W154" i="1"/>
  <c r="W153" i="1"/>
  <c r="W104" i="1"/>
  <c r="B11" i="3"/>
  <c r="B5" i="3"/>
  <c r="L4" i="3"/>
  <c r="H4" i="3" a="1"/>
  <c r="G4" i="3" a="1"/>
  <c r="AP51" i="1"/>
  <c r="AO51" i="1"/>
  <c r="AG51" i="1"/>
  <c r="W51" i="1"/>
  <c r="AP50" i="1"/>
  <c r="AO50" i="1"/>
  <c r="AG50" i="1"/>
  <c r="W50" i="1"/>
  <c r="AP93" i="1"/>
  <c r="AO93" i="1"/>
  <c r="AG93" i="1"/>
  <c r="W93" i="1"/>
  <c r="AP69" i="1"/>
  <c r="AO69" i="1"/>
  <c r="AG69" i="1"/>
  <c r="AP165" i="1"/>
  <c r="AO165" i="1"/>
  <c r="AG165" i="1"/>
  <c r="W165" i="1"/>
  <c r="AP49" i="1"/>
  <c r="AO49" i="1"/>
  <c r="AG49" i="1"/>
  <c r="W49" i="1"/>
  <c r="AP38" i="1"/>
  <c r="AO38" i="1"/>
  <c r="AG38" i="1"/>
  <c r="W38" i="1"/>
  <c r="AP62" i="1"/>
  <c r="AO62" i="1"/>
  <c r="AG62" i="1"/>
  <c r="W62" i="1"/>
  <c r="AP104" i="1"/>
  <c r="AO104" i="1"/>
  <c r="AG104" i="1"/>
  <c r="AP112" i="1"/>
  <c r="AO112" i="1"/>
  <c r="AG112" i="1"/>
  <c r="W112" i="1"/>
  <c r="AP37" i="1"/>
  <c r="AO37" i="1"/>
  <c r="AG37" i="1"/>
  <c r="W37" i="1"/>
  <c r="AP7" i="1"/>
  <c r="AO7" i="1"/>
  <c r="AG7" i="1"/>
  <c r="W7" i="1"/>
  <c r="AP68" i="1"/>
  <c r="AO68" i="1"/>
  <c r="AG68" i="1"/>
  <c r="W68" i="1"/>
  <c r="AP6" i="1"/>
  <c r="AO6" i="1"/>
  <c r="AG6" i="1"/>
  <c r="W6" i="1"/>
  <c r="AP5" i="1"/>
  <c r="AO5" i="1"/>
  <c r="AG5" i="1"/>
  <c r="W5" i="1"/>
  <c r="AP111" i="1"/>
  <c r="AO111" i="1"/>
  <c r="AG111" i="1"/>
  <c r="W111" i="1"/>
  <c r="AP44" i="1"/>
  <c r="AO44" i="1"/>
  <c r="AG44" i="1"/>
  <c r="W44" i="1"/>
  <c r="AP67" i="1"/>
  <c r="AO67" i="1"/>
  <c r="AG67" i="1"/>
  <c r="W67" i="1"/>
  <c r="AP4" i="1"/>
  <c r="AO4" i="1"/>
  <c r="AG4" i="1"/>
  <c r="W4" i="1"/>
  <c r="AP81" i="1"/>
  <c r="AO81" i="1"/>
  <c r="AG81" i="1"/>
  <c r="W81" i="1"/>
  <c r="AP80" i="1"/>
  <c r="AO80" i="1"/>
  <c r="AG80" i="1"/>
  <c r="W80" i="1"/>
  <c r="AP79" i="1"/>
  <c r="AO79" i="1"/>
  <c r="AG79" i="1"/>
  <c r="W79" i="1"/>
  <c r="AP164" i="1"/>
  <c r="AO164" i="1"/>
  <c r="AG164" i="1"/>
  <c r="W164" i="1"/>
  <c r="AP48" i="1"/>
  <c r="AO48" i="1"/>
  <c r="AG48" i="1"/>
  <c r="W48" i="1"/>
  <c r="AP78" i="1"/>
  <c r="AO78" i="1"/>
  <c r="AG78" i="1"/>
  <c r="W78" i="1"/>
  <c r="AP77" i="1"/>
  <c r="AO77" i="1"/>
  <c r="AG77" i="1"/>
  <c r="W77" i="1"/>
  <c r="AP76" i="1"/>
  <c r="AO76" i="1"/>
  <c r="AG76" i="1"/>
  <c r="W76" i="1"/>
  <c r="AP75" i="1"/>
  <c r="AO75" i="1"/>
  <c r="AG75" i="1"/>
  <c r="W75" i="1"/>
  <c r="AP47" i="1"/>
  <c r="AO47" i="1"/>
  <c r="AG47" i="1"/>
  <c r="W47" i="1"/>
  <c r="AP163" i="1"/>
  <c r="AO163" i="1"/>
  <c r="AG163" i="1"/>
  <c r="W163" i="1"/>
  <c r="AP46" i="1"/>
  <c r="AO46" i="1"/>
  <c r="AG46" i="1"/>
  <c r="W46" i="1"/>
  <c r="AP17" i="1"/>
  <c r="AO17" i="1"/>
  <c r="AG17" i="1"/>
  <c r="W17" i="1"/>
  <c r="AP152" i="1"/>
  <c r="AO152" i="1"/>
  <c r="AG152" i="1"/>
  <c r="W152" i="1"/>
  <c r="AP151" i="1"/>
  <c r="AO151" i="1"/>
  <c r="AG151" i="1"/>
  <c r="W151" i="1"/>
  <c r="AP148" i="1"/>
  <c r="AO148" i="1"/>
  <c r="AG148" i="1"/>
  <c r="W148" i="1"/>
  <c r="AP145" i="1"/>
  <c r="AO145" i="1"/>
  <c r="AG145" i="1"/>
  <c r="W145" i="1"/>
  <c r="AP141" i="1"/>
  <c r="AO141" i="1"/>
  <c r="AG141" i="1"/>
  <c r="W141" i="1"/>
  <c r="AP137" i="1"/>
  <c r="AO137" i="1"/>
  <c r="AG137" i="1"/>
  <c r="W137" i="1"/>
  <c r="AP130" i="1"/>
  <c r="AO130" i="1"/>
  <c r="AG130" i="1"/>
  <c r="W130" i="1"/>
  <c r="AP45" i="1"/>
  <c r="AO45" i="1"/>
  <c r="AG45" i="1"/>
  <c r="W45" i="1"/>
  <c r="AP103" i="1"/>
  <c r="AO103" i="1"/>
  <c r="AG103" i="1"/>
  <c r="W103" i="1"/>
  <c r="AP29" i="1"/>
  <c r="AO29" i="1"/>
  <c r="AG29" i="1"/>
  <c r="W29" i="1"/>
  <c r="AP28" i="1"/>
  <c r="AO28" i="1"/>
  <c r="AG28" i="1"/>
  <c r="W28" i="1"/>
  <c r="AP102" i="1"/>
  <c r="AO102" i="1"/>
  <c r="AG102" i="1"/>
  <c r="W102" i="1"/>
  <c r="AP101" i="1"/>
  <c r="AO101" i="1"/>
  <c r="AG101" i="1"/>
  <c r="W101" i="1"/>
  <c r="AP27" i="1"/>
  <c r="AO27" i="1"/>
  <c r="AG27" i="1"/>
  <c r="W27" i="1"/>
  <c r="AP61" i="1"/>
  <c r="AO61" i="1"/>
  <c r="AG61" i="1"/>
  <c r="W61" i="1"/>
  <c r="AP100" i="1"/>
  <c r="AO100" i="1"/>
  <c r="AG100" i="1"/>
  <c r="W100" i="1"/>
  <c r="AP26" i="1"/>
  <c r="AO26" i="1"/>
  <c r="AG26" i="1"/>
  <c r="W26" i="1"/>
  <c r="AP60" i="1"/>
  <c r="AO60" i="1"/>
  <c r="AG60" i="1"/>
  <c r="W60" i="1"/>
  <c r="AP59" i="1"/>
  <c r="AO59" i="1"/>
  <c r="AG59" i="1"/>
  <c r="W59" i="1"/>
  <c r="AP99" i="1"/>
  <c r="AO99" i="1"/>
  <c r="AG99" i="1"/>
  <c r="W99" i="1"/>
  <c r="AP25" i="1"/>
  <c r="AO25" i="1"/>
  <c r="AG25" i="1"/>
  <c r="W25" i="1"/>
  <c r="AP24" i="1"/>
  <c r="AO24" i="1"/>
  <c r="AG24" i="1"/>
  <c r="W24" i="1"/>
  <c r="AP58" i="1"/>
  <c r="AO58" i="1"/>
  <c r="AG58" i="1"/>
  <c r="W58" i="1"/>
  <c r="AP23" i="1"/>
  <c r="AO23" i="1"/>
  <c r="AG23" i="1"/>
  <c r="W23" i="1"/>
  <c r="AP22" i="1"/>
  <c r="AO22" i="1"/>
  <c r="AG22" i="1"/>
  <c r="W22" i="1"/>
  <c r="AP57" i="1"/>
  <c r="AO57" i="1"/>
  <c r="AG57" i="1"/>
  <c r="W57" i="1"/>
  <c r="AP21" i="1"/>
  <c r="AO21" i="1"/>
  <c r="AG21" i="1"/>
  <c r="W21" i="1"/>
  <c r="AP131" i="1"/>
  <c r="AO131" i="1"/>
  <c r="AG131" i="1"/>
  <c r="W131" i="1"/>
  <c r="AP20" i="1"/>
  <c r="AO20" i="1"/>
  <c r="AG20" i="1"/>
  <c r="W20" i="1"/>
  <c r="AP128" i="1"/>
  <c r="AO128" i="1"/>
  <c r="AG128" i="1"/>
  <c r="W128" i="1"/>
  <c r="AP98" i="1"/>
  <c r="AO98" i="1"/>
  <c r="AG98" i="1"/>
  <c r="W98" i="1"/>
  <c r="AP97" i="1"/>
  <c r="AO97" i="1"/>
  <c r="AG97" i="1"/>
  <c r="W97" i="1"/>
  <c r="AP96" i="1"/>
  <c r="AO96" i="1"/>
  <c r="AG96" i="1"/>
  <c r="W96" i="1"/>
  <c r="AP95" i="1"/>
  <c r="AO95" i="1"/>
  <c r="AG95" i="1"/>
  <c r="W95" i="1"/>
  <c r="AP56" i="1"/>
  <c r="AO56" i="1"/>
  <c r="AG56" i="1"/>
  <c r="W56" i="1"/>
  <c r="AP94" i="1"/>
  <c r="AO94" i="1"/>
  <c r="AG94" i="1"/>
  <c r="W94" i="1"/>
  <c r="AP19" i="1"/>
  <c r="AO19" i="1"/>
  <c r="AG19" i="1"/>
  <c r="W19" i="1"/>
  <c r="AP55" i="1"/>
  <c r="AO55" i="1"/>
  <c r="AG55" i="1"/>
  <c r="W55" i="1"/>
  <c r="AP92" i="1"/>
  <c r="AO92" i="1"/>
  <c r="AG92" i="1"/>
  <c r="W92" i="1"/>
  <c r="AP91" i="1"/>
  <c r="AO91" i="1"/>
  <c r="AG91" i="1"/>
  <c r="W91" i="1"/>
  <c r="AP90" i="1"/>
  <c r="AO90" i="1"/>
  <c r="AG90" i="1"/>
  <c r="W90" i="1"/>
  <c r="AP89" i="1"/>
  <c r="AO89" i="1"/>
  <c r="AG89" i="1"/>
  <c r="W89" i="1"/>
  <c r="AP127" i="1"/>
  <c r="AO127" i="1"/>
  <c r="AG127" i="1"/>
  <c r="W127" i="1"/>
  <c r="AP54" i="1"/>
  <c r="AO54" i="1"/>
  <c r="AG54" i="1"/>
  <c r="W54" i="1"/>
  <c r="AP108" i="1"/>
  <c r="AO108" i="1"/>
  <c r="W108" i="1"/>
  <c r="AP162" i="1"/>
  <c r="AO162" i="1"/>
  <c r="AG162" i="1"/>
  <c r="AP161" i="1"/>
  <c r="AO161" i="1"/>
  <c r="AG161" i="1"/>
  <c r="W161" i="1"/>
  <c r="AP160" i="1"/>
  <c r="AO160" i="1"/>
  <c r="AG160" i="1"/>
  <c r="W160" i="1"/>
  <c r="AP159" i="1"/>
  <c r="AO159" i="1"/>
  <c r="AG159" i="1"/>
  <c r="W159" i="1"/>
  <c r="AP158" i="1"/>
  <c r="AO158" i="1"/>
  <c r="AG158" i="1"/>
  <c r="W158" i="1"/>
  <c r="AP43" i="1"/>
  <c r="AO43" i="1"/>
  <c r="AG43" i="1"/>
  <c r="W43" i="1"/>
  <c r="AP88" i="1"/>
  <c r="AO88" i="1"/>
  <c r="AG88" i="1"/>
  <c r="W88" i="1"/>
  <c r="AP87" i="1"/>
  <c r="AO87" i="1"/>
  <c r="AG87" i="1"/>
  <c r="W87" i="1"/>
  <c r="AP35" i="1"/>
  <c r="AO35" i="1"/>
  <c r="AG35" i="1"/>
  <c r="W35" i="1"/>
  <c r="AP134" i="1"/>
  <c r="AO134" i="1"/>
  <c r="AG134" i="1"/>
  <c r="W134" i="1"/>
  <c r="AP53" i="1"/>
  <c r="AO53" i="1"/>
  <c r="AG53" i="1"/>
  <c r="W53" i="1"/>
  <c r="AP133" i="1"/>
  <c r="AO133" i="1"/>
  <c r="AG133" i="1"/>
  <c r="W133" i="1"/>
  <c r="AP86" i="1"/>
  <c r="AO86" i="1"/>
  <c r="AG86" i="1"/>
  <c r="W86" i="1"/>
  <c r="AP85" i="1"/>
  <c r="AO85" i="1"/>
  <c r="AG85" i="1"/>
  <c r="W85" i="1"/>
  <c r="AP18" i="1"/>
  <c r="AO18" i="1"/>
  <c r="AG18" i="1"/>
  <c r="W18" i="1"/>
  <c r="AP84" i="1"/>
  <c r="AO84" i="1"/>
  <c r="AG84" i="1"/>
  <c r="W84" i="1"/>
  <c r="AP83" i="1"/>
  <c r="AO83" i="1"/>
  <c r="AG83" i="1"/>
  <c r="W83" i="1"/>
  <c r="AP52" i="1"/>
  <c r="AO52" i="1"/>
  <c r="AG52" i="1"/>
  <c r="W52" i="1"/>
  <c r="AP113" i="1"/>
  <c r="AO113" i="1"/>
  <c r="AG113" i="1"/>
  <c r="W113" i="1"/>
  <c r="AP41" i="1"/>
  <c r="AO41" i="1"/>
  <c r="AG41" i="1"/>
  <c r="W41" i="1"/>
  <c r="AP14" i="1"/>
  <c r="AO14" i="1"/>
  <c r="AG14" i="1"/>
  <c r="W14" i="1"/>
  <c r="AP72" i="1"/>
  <c r="AO72" i="1"/>
  <c r="AG72" i="1"/>
  <c r="W72" i="1"/>
  <c r="AP71" i="1"/>
  <c r="AO71" i="1"/>
  <c r="AG71" i="1"/>
  <c r="W71" i="1"/>
  <c r="AP13" i="1"/>
  <c r="AO13" i="1"/>
  <c r="AG13" i="1"/>
  <c r="W13" i="1"/>
  <c r="AP12" i="1"/>
  <c r="AO12" i="1"/>
  <c r="AG12" i="1"/>
  <c r="W12" i="1"/>
  <c r="AP40" i="1"/>
  <c r="AO40" i="1"/>
  <c r="AG40" i="1"/>
  <c r="W40" i="1"/>
  <c r="AP70" i="1"/>
  <c r="AO70" i="1"/>
  <c r="AG70" i="1"/>
  <c r="W70" i="1"/>
  <c r="AP11" i="1"/>
  <c r="AO11" i="1"/>
  <c r="AG11" i="1"/>
  <c r="W11" i="1"/>
  <c r="AP10" i="1"/>
  <c r="AO10" i="1"/>
  <c r="AG10" i="1"/>
  <c r="W10" i="1"/>
  <c r="AP8" i="1"/>
  <c r="AO8" i="1"/>
  <c r="AG8" i="1"/>
  <c r="W8" i="1"/>
  <c r="AP39" i="1"/>
  <c r="AO39" i="1"/>
  <c r="AG39" i="1"/>
  <c r="W39" i="1"/>
  <c r="AP107" i="1"/>
  <c r="AO107" i="1"/>
  <c r="AG107" i="1"/>
  <c r="W107" i="1"/>
  <c r="AP33" i="1"/>
  <c r="AO33" i="1"/>
  <c r="AG33" i="1"/>
  <c r="W33" i="1"/>
  <c r="AP65" i="1"/>
  <c r="AO65" i="1"/>
  <c r="AG65" i="1"/>
  <c r="W65" i="1"/>
  <c r="AP106" i="1"/>
  <c r="AO106" i="1"/>
  <c r="AG106" i="1"/>
  <c r="W106" i="1"/>
  <c r="AP32" i="1"/>
  <c r="AO32" i="1"/>
  <c r="AG32" i="1"/>
  <c r="W32" i="1"/>
  <c r="AP31" i="1"/>
  <c r="AO31" i="1"/>
  <c r="AG31" i="1"/>
  <c r="W31" i="1"/>
  <c r="AP64" i="1"/>
  <c r="AO64" i="1"/>
  <c r="AG64" i="1"/>
  <c r="W64" i="1"/>
  <c r="AP150" i="1"/>
  <c r="AO150" i="1"/>
  <c r="AG150" i="1"/>
  <c r="W150" i="1"/>
  <c r="AP149" i="1"/>
  <c r="AO149" i="1"/>
  <c r="AG149" i="1"/>
  <c r="W149" i="1"/>
  <c r="AP147" i="1"/>
  <c r="AO147" i="1"/>
  <c r="AG147" i="1"/>
  <c r="W147" i="1"/>
  <c r="AP146" i="1"/>
  <c r="AO146" i="1"/>
  <c r="AG146" i="1"/>
  <c r="W146" i="1"/>
  <c r="AP144" i="1"/>
  <c r="AO144" i="1"/>
  <c r="AG144" i="1"/>
  <c r="W144" i="1"/>
  <c r="AP142" i="1"/>
  <c r="AO142" i="1"/>
  <c r="AG142" i="1"/>
  <c r="W142" i="1"/>
  <c r="AP140" i="1"/>
  <c r="AO140" i="1"/>
  <c r="AG140" i="1"/>
  <c r="W140" i="1"/>
  <c r="AP138" i="1"/>
  <c r="AO138" i="1"/>
  <c r="AG138" i="1"/>
  <c r="W138" i="1"/>
  <c r="AP136" i="1"/>
  <c r="AO136" i="1"/>
  <c r="AG136" i="1"/>
  <c r="W136" i="1"/>
  <c r="AP132" i="1"/>
  <c r="AO132" i="1"/>
  <c r="AG132" i="1"/>
  <c r="W132" i="1"/>
  <c r="AP129" i="1"/>
  <c r="AO129" i="1"/>
  <c r="AG129" i="1"/>
  <c r="W129" i="1"/>
  <c r="AP105" i="1"/>
  <c r="AO105" i="1"/>
  <c r="AG105" i="1"/>
  <c r="W105" i="1"/>
  <c r="AP30" i="1"/>
  <c r="AO30" i="1"/>
  <c r="AG30" i="1"/>
  <c r="W30" i="1"/>
  <c r="AP63" i="1"/>
  <c r="AO63" i="1"/>
  <c r="AG63" i="1"/>
  <c r="W63" i="1"/>
  <c r="AP157" i="1"/>
  <c r="AO157" i="1"/>
  <c r="AG157" i="1"/>
  <c r="W157" i="1"/>
  <c r="AP143" i="1"/>
  <c r="AO143" i="1"/>
  <c r="AG143" i="1"/>
  <c r="W143" i="1"/>
  <c r="AP139" i="1"/>
  <c r="AO139" i="1"/>
  <c r="AG139" i="1"/>
  <c r="W139" i="1"/>
  <c r="AP135" i="1"/>
  <c r="AO135" i="1"/>
  <c r="AG135" i="1"/>
  <c r="W135" i="1"/>
  <c r="AP74" i="1"/>
  <c r="AO74" i="1"/>
  <c r="AG74" i="1"/>
  <c r="W74" i="1"/>
  <c r="AP16" i="1"/>
  <c r="AO16" i="1"/>
  <c r="AG16" i="1"/>
  <c r="W16" i="1"/>
  <c r="AP114" i="1"/>
  <c r="AO114" i="1"/>
  <c r="AG114" i="1"/>
  <c r="W114" i="1"/>
  <c r="AP42" i="1"/>
  <c r="AO42" i="1"/>
  <c r="AG42" i="1"/>
  <c r="W42" i="1"/>
  <c r="AP156" i="1"/>
  <c r="AO156" i="1"/>
  <c r="AG156" i="1"/>
  <c r="AP82" i="1"/>
  <c r="AO82" i="1"/>
  <c r="AG82" i="1"/>
  <c r="AP155" i="1"/>
  <c r="AO155" i="1"/>
  <c r="AG155" i="1"/>
  <c r="AP154" i="1"/>
  <c r="AO154" i="1"/>
  <c r="AG154" i="1"/>
  <c r="AP153" i="1"/>
  <c r="AO153" i="1"/>
  <c r="AG153" i="1"/>
  <c r="AQ241" i="1" l="1"/>
  <c r="AF241" i="1"/>
  <c r="AM241" i="1"/>
  <c r="AF242" i="1"/>
  <c r="AM242" i="1"/>
  <c r="AQ242" i="1"/>
  <c r="AF123" i="1"/>
  <c r="AF121" i="1"/>
  <c r="AF208" i="1"/>
  <c r="AF179" i="1"/>
  <c r="AF115" i="1"/>
  <c r="AF233" i="1"/>
  <c r="AF193" i="1"/>
  <c r="AF181" i="1"/>
  <c r="AF173" i="1"/>
  <c r="AF170" i="1"/>
  <c r="H17" i="4"/>
  <c r="G17" i="4"/>
  <c r="F12" i="4"/>
  <c r="F13" i="4"/>
  <c r="F14" i="4"/>
  <c r="F15" i="4"/>
  <c r="F16" i="4"/>
  <c r="F17" i="4"/>
  <c r="F18" i="4"/>
  <c r="F19" i="4"/>
  <c r="F11" i="4"/>
  <c r="C11" i="4"/>
  <c r="C12" i="4"/>
  <c r="C13" i="4"/>
  <c r="C14" i="4"/>
  <c r="C15" i="4"/>
  <c r="C16" i="4"/>
  <c r="C17" i="4"/>
  <c r="C18" i="4"/>
  <c r="C19" i="4"/>
  <c r="AF120" i="1"/>
  <c r="AF230" i="1"/>
  <c r="AF176" i="1"/>
  <c r="AF78" i="7"/>
  <c r="AF48" i="7"/>
  <c r="AF227" i="1"/>
  <c r="AF219" i="1"/>
  <c r="AF188" i="1"/>
  <c r="AQ235" i="1"/>
  <c r="AM235" i="1"/>
  <c r="AF235" i="1"/>
  <c r="AF234" i="1"/>
  <c r="AM234" i="1"/>
  <c r="AQ234" i="1"/>
  <c r="AF207" i="1"/>
  <c r="AF222" i="1"/>
  <c r="AF187" i="1"/>
  <c r="G6" i="4"/>
  <c r="F6" i="4" s="1"/>
  <c r="F7" i="4"/>
  <c r="AF232" i="1"/>
  <c r="AM233" i="1"/>
  <c r="AQ233" i="1"/>
  <c r="AF231" i="1"/>
  <c r="AF199" i="1"/>
  <c r="AQ232" i="1"/>
  <c r="AM232" i="1"/>
  <c r="AQ231" i="1"/>
  <c r="AM231" i="1"/>
  <c r="AQ230" i="1"/>
  <c r="AM230" i="1"/>
  <c r="AF201" i="1"/>
  <c r="AF223" i="1"/>
  <c r="AF202" i="1"/>
  <c r="AF86" i="7"/>
  <c r="AF96" i="7"/>
  <c r="AF30" i="7"/>
  <c r="AF9" i="7"/>
  <c r="AF19" i="7"/>
  <c r="AF12" i="7"/>
  <c r="AF61" i="7"/>
  <c r="AF22" i="7"/>
  <c r="AF28" i="7"/>
  <c r="AF11" i="7"/>
  <c r="AF62" i="7"/>
  <c r="AF85" i="7"/>
  <c r="AF10" i="7"/>
  <c r="AF57" i="7"/>
  <c r="AF20" i="7"/>
  <c r="AF18" i="7"/>
  <c r="AF87" i="7"/>
  <c r="AF76" i="7"/>
  <c r="AF56" i="7"/>
  <c r="AQ99" i="7"/>
  <c r="AM99" i="7"/>
  <c r="AF200" i="1"/>
  <c r="AQ229" i="1"/>
  <c r="AF229" i="1"/>
  <c r="AM229" i="1"/>
  <c r="AQ228" i="1"/>
  <c r="AM228" i="1"/>
  <c r="AQ227" i="1"/>
  <c r="AM227" i="1"/>
  <c r="AF226" i="1"/>
  <c r="AQ226" i="1"/>
  <c r="AM226" i="1"/>
  <c r="AF189" i="1"/>
  <c r="AF171" i="1"/>
  <c r="AF124" i="1"/>
  <c r="AQ225" i="1"/>
  <c r="AF225" i="1"/>
  <c r="AM225" i="1"/>
  <c r="AQ224" i="1"/>
  <c r="AM224" i="1"/>
  <c r="AQ223" i="1"/>
  <c r="AM223" i="1"/>
  <c r="AQ222" i="1"/>
  <c r="AM222" i="1"/>
  <c r="AF118" i="1"/>
  <c r="AF174" i="1"/>
  <c r="AF119" i="1"/>
  <c r="AQ221" i="1"/>
  <c r="AM221" i="1"/>
  <c r="AF221" i="1"/>
  <c r="AQ220" i="1"/>
  <c r="AM220" i="1"/>
  <c r="AQ98" i="7"/>
  <c r="AM98" i="7"/>
  <c r="AF184" i="1"/>
  <c r="AF126" i="1"/>
  <c r="AQ219" i="1"/>
  <c r="AM219" i="1"/>
  <c r="AF215" i="1"/>
  <c r="AQ96" i="7"/>
  <c r="AM96" i="7"/>
  <c r="AF194" i="1"/>
  <c r="AQ95" i="7"/>
  <c r="AM95" i="7"/>
  <c r="AF95" i="7"/>
  <c r="AF94" i="7"/>
  <c r="AQ94" i="7"/>
  <c r="AM94" i="7"/>
  <c r="AQ93" i="7"/>
  <c r="AM93" i="7"/>
  <c r="AF93" i="7"/>
  <c r="AF206" i="1"/>
  <c r="AF183" i="1"/>
  <c r="AQ216" i="1"/>
  <c r="AM216" i="1"/>
  <c r="AF216" i="1"/>
  <c r="AQ215" i="1"/>
  <c r="AM215" i="1"/>
  <c r="AM214" i="1"/>
  <c r="AF214" i="1"/>
  <c r="AQ214" i="1"/>
  <c r="AQ213" i="1"/>
  <c r="AM213" i="1"/>
  <c r="AF213" i="1"/>
  <c r="AQ212" i="1"/>
  <c r="AM212" i="1"/>
  <c r="AF211" i="1"/>
  <c r="AF204" i="1"/>
  <c r="AF172" i="1"/>
  <c r="AF185" i="1"/>
  <c r="AF182" i="1"/>
  <c r="AQ92" i="7"/>
  <c r="AM92" i="7"/>
  <c r="AF92" i="7"/>
  <c r="AM91" i="7"/>
  <c r="AQ91" i="7"/>
  <c r="AM211" i="1"/>
  <c r="AQ211" i="1"/>
  <c r="AQ90" i="7"/>
  <c r="AM90" i="7"/>
  <c r="AF90" i="7"/>
  <c r="AM89" i="7"/>
  <c r="AQ89" i="7"/>
  <c r="AF210" i="1"/>
  <c r="AM210" i="1"/>
  <c r="AQ210" i="1"/>
  <c r="AF190" i="1"/>
  <c r="AF203" i="1"/>
  <c r="AF197" i="1"/>
  <c r="AF196" i="1"/>
  <c r="AF195" i="1"/>
  <c r="AF198" i="1"/>
  <c r="AF192" i="1"/>
  <c r="AF117" i="1"/>
  <c r="AF125" i="1"/>
  <c r="D11" i="4"/>
  <c r="G11" i="4"/>
  <c r="AF209" i="1"/>
  <c r="AF205" i="1"/>
  <c r="AF122" i="1"/>
  <c r="AQ126" i="1"/>
  <c r="AM126" i="1"/>
  <c r="AQ125" i="1"/>
  <c r="AM125" i="1"/>
  <c r="AQ124" i="1"/>
  <c r="AM124" i="1"/>
  <c r="AQ123" i="1"/>
  <c r="AM123" i="1"/>
  <c r="AQ122" i="1"/>
  <c r="AM122" i="1"/>
  <c r="AQ121" i="1"/>
  <c r="AM121" i="1"/>
  <c r="AQ120" i="1"/>
  <c r="AM120" i="1"/>
  <c r="AQ119" i="1"/>
  <c r="AM119" i="1"/>
  <c r="AQ118" i="1"/>
  <c r="AM118" i="1"/>
  <c r="AQ117" i="1"/>
  <c r="AM117" i="1"/>
  <c r="AQ116" i="1"/>
  <c r="AM116" i="1"/>
  <c r="AQ115" i="1"/>
  <c r="AM115" i="1"/>
  <c r="AQ209" i="1"/>
  <c r="AM209" i="1"/>
  <c r="AQ88" i="7"/>
  <c r="AM88" i="7"/>
  <c r="AF88" i="7"/>
  <c r="AQ208" i="1"/>
  <c r="AM208" i="1"/>
  <c r="AQ207" i="1"/>
  <c r="AM207" i="1"/>
  <c r="AQ206" i="1"/>
  <c r="AM206" i="1"/>
  <c r="AQ205" i="1"/>
  <c r="AM205" i="1"/>
  <c r="AQ204" i="1"/>
  <c r="AM204" i="1"/>
  <c r="AQ203" i="1"/>
  <c r="AM203" i="1"/>
  <c r="AQ202" i="1"/>
  <c r="AM202" i="1"/>
  <c r="AQ201" i="1"/>
  <c r="AM201" i="1"/>
  <c r="AQ200" i="1"/>
  <c r="AM200" i="1"/>
  <c r="AQ199" i="1"/>
  <c r="AM199" i="1"/>
  <c r="AQ198" i="1"/>
  <c r="AM198" i="1"/>
  <c r="AQ197" i="1"/>
  <c r="AM197" i="1"/>
  <c r="AQ196" i="1"/>
  <c r="AM196" i="1"/>
  <c r="AQ195" i="1"/>
  <c r="AM195" i="1"/>
  <c r="AQ194" i="1"/>
  <c r="AM194" i="1"/>
  <c r="AQ193" i="1"/>
  <c r="AM193" i="1"/>
  <c r="AQ192" i="1"/>
  <c r="AM192" i="1"/>
  <c r="AQ191" i="1"/>
  <c r="AM191" i="1"/>
  <c r="AQ190" i="1"/>
  <c r="AM190" i="1"/>
  <c r="AQ189" i="1"/>
  <c r="AM189" i="1"/>
  <c r="AQ188" i="1"/>
  <c r="AM188" i="1"/>
  <c r="AQ187" i="1"/>
  <c r="AM187" i="1"/>
  <c r="AQ186" i="1"/>
  <c r="AM186" i="1"/>
  <c r="AQ185" i="1"/>
  <c r="AM185" i="1"/>
  <c r="AQ184" i="1"/>
  <c r="AM184" i="1"/>
  <c r="AQ183" i="1"/>
  <c r="AM183" i="1"/>
  <c r="AQ182" i="1"/>
  <c r="AM182" i="1"/>
  <c r="AQ181" i="1"/>
  <c r="AM181" i="1"/>
  <c r="AQ180" i="1"/>
  <c r="AM180" i="1"/>
  <c r="AQ179" i="1"/>
  <c r="AM179" i="1"/>
  <c r="AQ178" i="1"/>
  <c r="AM178" i="1"/>
  <c r="AQ177" i="1"/>
  <c r="AM177" i="1"/>
  <c r="AQ176" i="1"/>
  <c r="AM176" i="1"/>
  <c r="AQ175" i="1"/>
  <c r="AM175" i="1"/>
  <c r="AQ174" i="1"/>
  <c r="AM174" i="1"/>
  <c r="AQ173" i="1"/>
  <c r="AM173" i="1"/>
  <c r="AQ172" i="1"/>
  <c r="AM172" i="1"/>
  <c r="AQ171" i="1"/>
  <c r="AM171" i="1"/>
  <c r="AQ170" i="1"/>
  <c r="AM170" i="1"/>
  <c r="AQ169" i="1"/>
  <c r="AM169" i="1"/>
  <c r="AQ168" i="1"/>
  <c r="AM168" i="1"/>
  <c r="AF74" i="7"/>
  <c r="AF65" i="7"/>
  <c r="AQ87" i="7"/>
  <c r="AM87" i="7"/>
  <c r="AQ86" i="7"/>
  <c r="AM86" i="7"/>
  <c r="AQ85" i="7"/>
  <c r="AM85" i="7"/>
  <c r="AQ84" i="7"/>
  <c r="AM84" i="7"/>
  <c r="AQ83" i="7"/>
  <c r="AM83" i="7"/>
  <c r="AQ82" i="7"/>
  <c r="AM82" i="7"/>
  <c r="AQ81" i="7"/>
  <c r="AM81" i="7"/>
  <c r="AQ80" i="7"/>
  <c r="AM80" i="7"/>
  <c r="AQ79" i="7"/>
  <c r="AM79" i="7"/>
  <c r="AQ78" i="7"/>
  <c r="AM78" i="7"/>
  <c r="AQ77" i="7"/>
  <c r="AM77" i="7"/>
  <c r="AQ76" i="7"/>
  <c r="AM76" i="7"/>
  <c r="AQ75" i="7"/>
  <c r="AM75" i="7"/>
  <c r="AQ74" i="7"/>
  <c r="AM74" i="7"/>
  <c r="AQ73" i="7"/>
  <c r="AM73" i="7"/>
  <c r="AQ72" i="7"/>
  <c r="AM72" i="7"/>
  <c r="AQ71" i="7"/>
  <c r="AM71" i="7"/>
  <c r="AQ70" i="7"/>
  <c r="AM70" i="7"/>
  <c r="AQ69" i="7"/>
  <c r="AM69" i="7"/>
  <c r="AQ68" i="7"/>
  <c r="AM68" i="7"/>
  <c r="AQ67" i="7"/>
  <c r="AM67" i="7"/>
  <c r="AQ66" i="7"/>
  <c r="AM66" i="7"/>
  <c r="AQ65" i="7"/>
  <c r="AM65" i="7"/>
  <c r="AQ64" i="7"/>
  <c r="AM64" i="7"/>
  <c r="AQ63" i="7"/>
  <c r="AM63" i="7"/>
  <c r="AQ62" i="7"/>
  <c r="AM62" i="7"/>
  <c r="AQ61" i="7"/>
  <c r="AM61" i="7"/>
  <c r="AQ60" i="7"/>
  <c r="AM60" i="7"/>
  <c r="AQ59" i="7"/>
  <c r="AM59" i="7"/>
  <c r="AQ58" i="7"/>
  <c r="AM58" i="7"/>
  <c r="AQ57" i="7"/>
  <c r="AM57" i="7"/>
  <c r="AQ56" i="7"/>
  <c r="AM56" i="7"/>
  <c r="AQ55" i="7"/>
  <c r="AM55" i="7"/>
  <c r="AQ54" i="7"/>
  <c r="AM54" i="7"/>
  <c r="AQ53" i="7"/>
  <c r="AM53" i="7"/>
  <c r="AQ52" i="7"/>
  <c r="AM52" i="7"/>
  <c r="AQ51" i="7"/>
  <c r="AM51" i="7"/>
  <c r="AQ50" i="7"/>
  <c r="AM50" i="7"/>
  <c r="AQ49" i="7"/>
  <c r="AM49" i="7"/>
  <c r="AQ48" i="7"/>
  <c r="AM48" i="7"/>
  <c r="AQ47" i="7"/>
  <c r="AM47" i="7"/>
  <c r="AQ46" i="7"/>
  <c r="AM46" i="7"/>
  <c r="AQ45" i="7"/>
  <c r="AM45" i="7"/>
  <c r="AQ44" i="7"/>
  <c r="AM44" i="7"/>
  <c r="AQ43" i="7"/>
  <c r="AM43" i="7"/>
  <c r="AQ42" i="7"/>
  <c r="AM42" i="7"/>
  <c r="AQ41" i="7"/>
  <c r="AM41" i="7"/>
  <c r="AQ40" i="7"/>
  <c r="AM40" i="7"/>
  <c r="AQ39" i="7"/>
  <c r="AM39" i="7"/>
  <c r="AQ38" i="7"/>
  <c r="AM38" i="7"/>
  <c r="AQ37" i="7"/>
  <c r="AM37" i="7"/>
  <c r="AQ36" i="7"/>
  <c r="AM36" i="7"/>
  <c r="AQ35" i="7"/>
  <c r="AM35" i="7"/>
  <c r="AQ34" i="7"/>
  <c r="AM34" i="7"/>
  <c r="AQ33" i="7"/>
  <c r="AM33" i="7"/>
  <c r="AQ32" i="7"/>
  <c r="AM32" i="7"/>
  <c r="AQ31" i="7"/>
  <c r="AM31" i="7"/>
  <c r="AQ30" i="7"/>
  <c r="AM30" i="7"/>
  <c r="AQ29" i="7"/>
  <c r="AM29" i="7"/>
  <c r="AQ28" i="7"/>
  <c r="AM28" i="7"/>
  <c r="AQ27" i="7"/>
  <c r="AM27" i="7"/>
  <c r="AQ26" i="7"/>
  <c r="AM26" i="7"/>
  <c r="AQ25" i="7"/>
  <c r="AM25" i="7"/>
  <c r="AQ24" i="7"/>
  <c r="AM24" i="7"/>
  <c r="AQ23" i="7"/>
  <c r="AM23" i="7"/>
  <c r="AQ22" i="7"/>
  <c r="AM22" i="7"/>
  <c r="AQ21" i="7"/>
  <c r="AM21" i="7"/>
  <c r="AQ20" i="7"/>
  <c r="AM20" i="7"/>
  <c r="AQ19" i="7"/>
  <c r="AM19" i="7"/>
  <c r="AQ18" i="7"/>
  <c r="AM18" i="7"/>
  <c r="AQ17" i="7"/>
  <c r="AM17" i="7"/>
  <c r="AQ16" i="7"/>
  <c r="AM16" i="7"/>
  <c r="AQ15" i="7"/>
  <c r="AM15" i="7"/>
  <c r="AQ14" i="7"/>
  <c r="AM14" i="7"/>
  <c r="AQ13" i="7"/>
  <c r="AM13" i="7"/>
  <c r="AQ12" i="7"/>
  <c r="AM12" i="7"/>
  <c r="AQ11" i="7"/>
  <c r="AM11" i="7"/>
  <c r="AQ10" i="7"/>
  <c r="AM10" i="7"/>
  <c r="AQ9" i="7"/>
  <c r="AM9" i="7"/>
  <c r="AQ8" i="7"/>
  <c r="AM8" i="7"/>
  <c r="AQ7" i="7"/>
  <c r="AM7" i="7"/>
  <c r="AQ15" i="1"/>
  <c r="AQ34" i="1"/>
  <c r="AQ73" i="1"/>
  <c r="AQ6" i="7"/>
  <c r="AM6" i="7"/>
  <c r="AF6" i="7"/>
  <c r="AQ5" i="7"/>
  <c r="AM5" i="7"/>
  <c r="AF5" i="7"/>
  <c r="AQ9" i="1"/>
  <c r="AM9" i="1"/>
  <c r="AF9" i="1"/>
  <c r="AQ4" i="7"/>
  <c r="AM4" i="7"/>
  <c r="AF4" i="7"/>
  <c r="AQ3" i="7"/>
  <c r="AM3" i="7"/>
  <c r="AF3" i="7"/>
  <c r="AQ2" i="7"/>
  <c r="AM2" i="7"/>
  <c r="AF2" i="7"/>
  <c r="AF15" i="1"/>
  <c r="AF73" i="1"/>
  <c r="H15" i="4"/>
  <c r="G15" i="4"/>
  <c r="H19" i="4"/>
  <c r="G12" i="4"/>
  <c r="H12" i="4"/>
  <c r="G13" i="4"/>
  <c r="H13" i="4"/>
  <c r="G14" i="4"/>
  <c r="H14" i="4"/>
  <c r="G16" i="4"/>
  <c r="H16" i="4"/>
  <c r="G18" i="4"/>
  <c r="H18" i="4"/>
  <c r="G19" i="4"/>
  <c r="H11" i="4"/>
  <c r="E13" i="4"/>
  <c r="E12" i="4"/>
  <c r="E14" i="4"/>
  <c r="E15" i="4"/>
  <c r="E16" i="4"/>
  <c r="E17" i="4"/>
  <c r="E18" i="4"/>
  <c r="E19" i="4"/>
  <c r="D12" i="4"/>
  <c r="D13" i="4"/>
  <c r="D14" i="4"/>
  <c r="D15" i="4"/>
  <c r="D16" i="4"/>
  <c r="D17" i="4"/>
  <c r="D18" i="4"/>
  <c r="D19" i="4"/>
  <c r="E11" i="4"/>
  <c r="AQ36" i="1"/>
  <c r="AM36" i="1"/>
  <c r="S2" i="1"/>
  <c r="AQ167" i="1"/>
  <c r="AM167" i="1"/>
  <c r="AF110" i="1"/>
  <c r="AQ110" i="1"/>
  <c r="AM110" i="1"/>
  <c r="AF166" i="1"/>
  <c r="AQ166" i="1"/>
  <c r="AM166" i="1"/>
  <c r="U2" i="1"/>
  <c r="AQ113" i="1"/>
  <c r="AQ81" i="1"/>
  <c r="AQ50" i="1"/>
  <c r="AQ84" i="1"/>
  <c r="AQ85" i="1"/>
  <c r="AQ88" i="1"/>
  <c r="AQ90" i="1"/>
  <c r="AQ55" i="1"/>
  <c r="AQ56" i="1"/>
  <c r="AQ21" i="1"/>
  <c r="AQ24" i="1"/>
  <c r="AQ59" i="1"/>
  <c r="AQ60" i="1"/>
  <c r="AQ27" i="1"/>
  <c r="AQ102" i="1"/>
  <c r="AQ29" i="1"/>
  <c r="AQ62" i="1"/>
  <c r="AQ132" i="1"/>
  <c r="AQ146" i="1"/>
  <c r="AQ32" i="1"/>
  <c r="AQ133" i="1"/>
  <c r="AQ16" i="1"/>
  <c r="AQ143" i="1"/>
  <c r="AQ43" i="1"/>
  <c r="AQ160" i="1"/>
  <c r="AQ162" i="1"/>
  <c r="AQ130" i="1"/>
  <c r="AQ141" i="1"/>
  <c r="AQ148" i="1"/>
  <c r="AQ17" i="1"/>
  <c r="AQ46" i="1"/>
  <c r="AQ163" i="1"/>
  <c r="AQ77" i="1"/>
  <c r="AQ164" i="1"/>
  <c r="AQ165" i="1"/>
  <c r="AQ83" i="1"/>
  <c r="AQ87" i="1"/>
  <c r="AQ89" i="1"/>
  <c r="AQ94" i="1"/>
  <c r="AQ96" i="1"/>
  <c r="AQ128" i="1"/>
  <c r="AQ57" i="1"/>
  <c r="AQ58" i="1"/>
  <c r="AQ100" i="1"/>
  <c r="AQ101" i="1"/>
  <c r="AQ103" i="1"/>
  <c r="AQ63" i="1"/>
  <c r="AQ136" i="1"/>
  <c r="AQ144" i="1"/>
  <c r="AQ64" i="1"/>
  <c r="AQ65" i="1"/>
  <c r="AQ108" i="1"/>
  <c r="AQ4" i="1"/>
  <c r="AQ5" i="1"/>
  <c r="AQ68" i="1"/>
  <c r="AQ112" i="1"/>
  <c r="AQ38" i="1"/>
  <c r="AQ39" i="1"/>
  <c r="AQ8" i="1"/>
  <c r="AQ11" i="1"/>
  <c r="AQ70" i="1"/>
  <c r="AQ13" i="1"/>
  <c r="AQ71" i="1"/>
  <c r="AQ41" i="1"/>
  <c r="AQ154" i="1"/>
  <c r="AQ156" i="1"/>
  <c r="AQ114" i="1"/>
  <c r="AQ139" i="1"/>
  <c r="AQ76" i="1"/>
  <c r="AQ80" i="1"/>
  <c r="AQ18" i="1"/>
  <c r="AQ127" i="1"/>
  <c r="AQ91" i="1"/>
  <c r="AQ19" i="1"/>
  <c r="AQ98" i="1"/>
  <c r="AQ131" i="1"/>
  <c r="AQ61" i="1"/>
  <c r="AQ30" i="1"/>
  <c r="AQ129" i="1"/>
  <c r="AQ142" i="1"/>
  <c r="AQ150" i="1"/>
  <c r="AQ106" i="1"/>
  <c r="AQ35" i="1"/>
  <c r="AQ109" i="1"/>
  <c r="AQ67" i="1"/>
  <c r="AQ111" i="1"/>
  <c r="AQ6" i="1"/>
  <c r="AQ7" i="1"/>
  <c r="AQ37" i="1"/>
  <c r="AQ69" i="1"/>
  <c r="AQ10" i="1"/>
  <c r="AQ40" i="1"/>
  <c r="AQ12" i="1"/>
  <c r="AQ72" i="1"/>
  <c r="AQ14" i="1"/>
  <c r="AQ153" i="1"/>
  <c r="AQ155" i="1"/>
  <c r="AQ42" i="1"/>
  <c r="AQ74" i="1"/>
  <c r="AQ135" i="1"/>
  <c r="AQ157" i="1"/>
  <c r="AQ158" i="1"/>
  <c r="AQ159" i="1"/>
  <c r="AQ161" i="1"/>
  <c r="AQ44" i="1"/>
  <c r="AQ45" i="1"/>
  <c r="AQ137" i="1"/>
  <c r="AQ145" i="1"/>
  <c r="AQ151" i="1"/>
  <c r="AQ152" i="1"/>
  <c r="AQ47" i="1"/>
  <c r="AQ75" i="1"/>
  <c r="AQ78" i="1"/>
  <c r="AQ79" i="1"/>
  <c r="AQ51" i="1"/>
  <c r="AQ52" i="1"/>
  <c r="AQ53" i="1"/>
  <c r="AQ54" i="1"/>
  <c r="AQ93" i="1"/>
  <c r="AQ95" i="1"/>
  <c r="AQ20" i="1"/>
  <c r="AQ22" i="1"/>
  <c r="AQ25" i="1"/>
  <c r="AQ26" i="1"/>
  <c r="AQ28" i="1"/>
  <c r="AQ104" i="1"/>
  <c r="AQ105" i="1"/>
  <c r="AQ140" i="1"/>
  <c r="AQ147" i="1"/>
  <c r="AQ33" i="1"/>
  <c r="AQ134" i="1"/>
  <c r="AQ48" i="1"/>
  <c r="AQ49" i="1"/>
  <c r="AQ82" i="1"/>
  <c r="AQ86" i="1"/>
  <c r="AQ92" i="1"/>
  <c r="AQ97" i="1"/>
  <c r="AQ23" i="1"/>
  <c r="AQ99" i="1"/>
  <c r="AQ138" i="1"/>
  <c r="AQ149" i="1"/>
  <c r="AQ31" i="1"/>
  <c r="AQ107" i="1"/>
  <c r="AQ66" i="1"/>
  <c r="AM109" i="1"/>
  <c r="M74" i="3"/>
  <c r="N61" i="3"/>
  <c r="N53" i="3"/>
  <c r="N50" i="3"/>
  <c r="N47" i="3"/>
  <c r="N44" i="3"/>
  <c r="M42" i="3"/>
  <c r="N37" i="3"/>
  <c r="M34" i="3"/>
  <c r="N30" i="3"/>
  <c r="N28" i="3"/>
  <c r="N25" i="3"/>
  <c r="N22" i="3"/>
  <c r="N19" i="3"/>
  <c r="M17" i="3"/>
  <c r="N13" i="3"/>
  <c r="N10" i="3"/>
  <c r="M8" i="3"/>
  <c r="R5" i="3"/>
  <c r="M76" i="3"/>
  <c r="M77" i="3"/>
  <c r="N71" i="3"/>
  <c r="M69" i="3"/>
  <c r="N64" i="3"/>
  <c r="M63" i="3"/>
  <c r="M61" i="3"/>
  <c r="N59" i="3"/>
  <c r="N57" i="3"/>
  <c r="M56" i="3"/>
  <c r="M54" i="3"/>
  <c r="M51" i="3"/>
  <c r="M49" i="3"/>
  <c r="M46" i="3"/>
  <c r="M44" i="3"/>
  <c r="N41" i="3"/>
  <c r="N39" i="3"/>
  <c r="N36" i="3"/>
  <c r="M35" i="3"/>
  <c r="N32" i="3"/>
  <c r="M30" i="3"/>
  <c r="M28" i="3"/>
  <c r="M26" i="3"/>
  <c r="N23" i="3"/>
  <c r="M21" i="3"/>
  <c r="N18" i="3"/>
  <c r="N16" i="3"/>
  <c r="N14" i="3"/>
  <c r="M12" i="3"/>
  <c r="M9" i="3"/>
  <c r="M7" i="3"/>
  <c r="Q5" i="3"/>
  <c r="M75" i="3"/>
  <c r="N67" i="3"/>
  <c r="M58" i="3"/>
  <c r="M53" i="3"/>
  <c r="M50" i="3"/>
  <c r="M47" i="3"/>
  <c r="N43" i="3"/>
  <c r="M41" i="3"/>
  <c r="M38" i="3"/>
  <c r="N34" i="3"/>
  <c r="M31" i="3"/>
  <c r="N27" i="3"/>
  <c r="M25" i="3"/>
  <c r="N21" i="3"/>
  <c r="M19" i="3"/>
  <c r="N15" i="3"/>
  <c r="N12" i="3"/>
  <c r="M10" i="3"/>
  <c r="Q7" i="3"/>
  <c r="N77" i="3"/>
  <c r="M73" i="3"/>
  <c r="N70" i="3"/>
  <c r="N68" i="3"/>
  <c r="M66" i="3"/>
  <c r="N76" i="3"/>
  <c r="N74" i="3"/>
  <c r="N72" i="3"/>
  <c r="M71" i="3"/>
  <c r="N69" i="3"/>
  <c r="M67" i="3"/>
  <c r="N65" i="3"/>
  <c r="N63" i="3"/>
  <c r="N62" i="3"/>
  <c r="M60" i="3"/>
  <c r="N58" i="3"/>
  <c r="N56" i="3"/>
  <c r="N55" i="3"/>
  <c r="N54" i="3"/>
  <c r="M52" i="3"/>
  <c r="N48" i="3"/>
  <c r="N46" i="3"/>
  <c r="M45" i="3"/>
  <c r="N42" i="3"/>
  <c r="M40" i="3"/>
  <c r="N38" i="3"/>
  <c r="M36" i="3"/>
  <c r="N33" i="3"/>
  <c r="M32" i="3"/>
  <c r="N29" i="3"/>
  <c r="M27" i="3"/>
  <c r="N24" i="3"/>
  <c r="M23" i="3"/>
  <c r="N20" i="3"/>
  <c r="M18" i="3"/>
  <c r="M15" i="3"/>
  <c r="M13" i="3"/>
  <c r="M11" i="3"/>
  <c r="N8" i="3"/>
  <c r="N7" i="3"/>
  <c r="M6" i="3"/>
  <c r="N75" i="3"/>
  <c r="N73" i="3"/>
  <c r="M72" i="3"/>
  <c r="M70" i="3"/>
  <c r="M68" i="3"/>
  <c r="N66" i="3"/>
  <c r="M65" i="3"/>
  <c r="M64" i="3"/>
  <c r="M62" i="3"/>
  <c r="N60" i="3"/>
  <c r="M59" i="3"/>
  <c r="M57" i="3"/>
  <c r="M55" i="3"/>
  <c r="N52" i="3"/>
  <c r="N51" i="3"/>
  <c r="N49" i="3"/>
  <c r="M48" i="3"/>
  <c r="N45" i="3"/>
  <c r="M43" i="3"/>
  <c r="N40" i="3"/>
  <c r="M39" i="3"/>
  <c r="N35" i="3"/>
  <c r="M33" i="3"/>
  <c r="N31" i="3"/>
  <c r="M29" i="3"/>
  <c r="N26" i="3"/>
  <c r="M24" i="3"/>
  <c r="M22" i="3"/>
  <c r="M20" i="3"/>
  <c r="N17" i="3"/>
  <c r="M16" i="3"/>
  <c r="M14" i="3"/>
  <c r="N11" i="3"/>
  <c r="N9" i="3"/>
  <c r="R7" i="3"/>
  <c r="N6" i="3"/>
  <c r="AM66" i="1"/>
  <c r="AF102" i="1"/>
  <c r="AF28" i="1"/>
  <c r="AF70" i="1"/>
  <c r="AF12" i="1"/>
  <c r="AF13" i="1"/>
  <c r="AF130" i="1"/>
  <c r="AF84" i="1"/>
  <c r="AF149" i="1"/>
  <c r="AF58" i="1"/>
  <c r="AF19" i="1"/>
  <c r="AF147" i="1"/>
  <c r="AF54" i="1"/>
  <c r="AF106" i="1"/>
  <c r="AF29" i="1"/>
  <c r="AF150" i="1"/>
  <c r="AF113" i="1"/>
  <c r="AF155" i="1"/>
  <c r="AF43" i="1"/>
  <c r="AF24" i="1"/>
  <c r="AF135" i="1"/>
  <c r="AF11" i="1"/>
  <c r="AF136" i="1"/>
  <c r="AF45" i="1"/>
  <c r="AF82" i="1"/>
  <c r="AF10" i="1"/>
  <c r="AF31" i="1"/>
  <c r="AF158" i="1"/>
  <c r="AF154" i="1"/>
  <c r="AF91" i="1"/>
  <c r="AF139" i="1"/>
  <c r="AF94" i="1"/>
  <c r="AF8" i="1"/>
  <c r="AF92" i="1"/>
  <c r="AF83" i="1"/>
  <c r="AF86" i="1"/>
  <c r="AF161" i="1"/>
  <c r="AF20" i="1"/>
  <c r="AF26" i="1"/>
  <c r="AF23" i="1"/>
  <c r="AF101" i="1"/>
  <c r="AF156" i="1"/>
  <c r="AF64" i="1"/>
  <c r="AF90" i="1"/>
  <c r="AF52" i="1"/>
  <c r="AF74" i="1"/>
  <c r="AF97" i="1"/>
  <c r="AF17" i="1"/>
  <c r="AF88" i="1"/>
  <c r="AF32" i="1"/>
  <c r="AF162" i="1"/>
  <c r="AF146" i="1"/>
  <c r="AF40" i="1"/>
  <c r="AF25" i="1"/>
  <c r="AF99" i="1"/>
  <c r="AF142" i="1"/>
  <c r="AF128" i="1"/>
  <c r="AF60" i="1"/>
  <c r="AF145" i="1"/>
  <c r="AF65" i="1"/>
  <c r="AF134" i="1"/>
  <c r="AF138" i="1"/>
  <c r="AF137" i="1"/>
  <c r="AF14" i="1"/>
  <c r="AF133" i="1"/>
  <c r="AF129" i="1"/>
  <c r="AF98" i="1"/>
  <c r="AF57" i="1"/>
  <c r="AF51" i="1"/>
  <c r="AF33" i="1"/>
  <c r="AF100" i="1"/>
  <c r="AF103" i="1"/>
  <c r="AF71" i="1"/>
  <c r="AF18" i="1"/>
  <c r="AF35" i="1"/>
  <c r="AF159" i="1"/>
  <c r="AF151" i="1"/>
  <c r="AF140" i="1"/>
  <c r="AF55" i="1"/>
  <c r="AF141" i="1"/>
  <c r="AF132" i="1"/>
  <c r="AF108" i="1"/>
  <c r="AF96" i="1"/>
  <c r="AF22" i="1"/>
  <c r="AF59" i="1"/>
  <c r="AF127" i="1"/>
  <c r="AF39" i="1"/>
  <c r="AF21" i="1"/>
  <c r="AF95" i="1"/>
  <c r="AF144" i="1"/>
  <c r="AF16" i="1"/>
  <c r="AF107" i="1"/>
  <c r="AF72" i="1"/>
  <c r="AF89" i="1"/>
  <c r="AF131" i="1"/>
  <c r="AF61" i="1"/>
  <c r="AF152" i="1"/>
  <c r="AF27" i="1"/>
  <c r="AF148" i="1"/>
  <c r="AF41" i="1"/>
  <c r="AF53" i="1"/>
  <c r="AF85" i="1"/>
  <c r="AF87" i="1"/>
  <c r="AF160" i="1"/>
  <c r="AF56" i="1"/>
  <c r="AF42" i="1"/>
  <c r="AF114" i="1"/>
  <c r="AM46" i="1"/>
  <c r="AF46" i="1"/>
  <c r="AF153" i="1"/>
  <c r="B14" i="3"/>
  <c r="C14" i="3" s="1"/>
  <c r="H1" i="3" s="1"/>
  <c r="H2" i="3" s="1"/>
  <c r="C8" i="3" s="1"/>
  <c r="G1" i="3" s="1"/>
  <c r="G2" i="3" s="1"/>
  <c r="B8" i="3" s="1"/>
  <c r="AM51" i="1"/>
  <c r="AM50" i="1"/>
  <c r="AF50" i="1"/>
  <c r="AF93" i="1"/>
  <c r="AM93" i="1"/>
  <c r="AF69" i="1"/>
  <c r="AM69" i="1"/>
  <c r="AF165" i="1"/>
  <c r="AM165" i="1"/>
  <c r="AM49" i="1"/>
  <c r="AF49" i="1"/>
  <c r="AF38" i="1"/>
  <c r="AM38" i="1"/>
  <c r="AM62" i="1"/>
  <c r="AF62" i="1"/>
  <c r="AF104" i="1"/>
  <c r="AM104" i="1"/>
  <c r="AF112" i="1"/>
  <c r="AM112" i="1"/>
  <c r="AM37" i="1"/>
  <c r="AF37" i="1"/>
  <c r="AM7" i="1"/>
  <c r="AF7" i="1"/>
  <c r="AF68" i="1"/>
  <c r="AM68" i="1"/>
  <c r="AF6" i="1"/>
  <c r="AM6" i="1"/>
  <c r="AM5" i="1"/>
  <c r="AF5" i="1"/>
  <c r="AM111" i="1"/>
  <c r="AF111" i="1"/>
  <c r="AM44" i="1"/>
  <c r="AF44" i="1"/>
  <c r="AM67" i="1"/>
  <c r="AF67" i="1"/>
  <c r="AM4" i="1"/>
  <c r="AF4" i="1"/>
  <c r="AF81" i="1"/>
  <c r="AM81" i="1"/>
  <c r="AF80" i="1"/>
  <c r="AM80" i="1"/>
  <c r="AF79" i="1"/>
  <c r="AM79" i="1"/>
  <c r="AM164" i="1"/>
  <c r="AF164" i="1"/>
  <c r="AF48" i="1"/>
  <c r="AM48" i="1"/>
  <c r="AF78" i="1"/>
  <c r="AM78" i="1"/>
  <c r="AM77" i="1"/>
  <c r="AF77" i="1"/>
  <c r="AM76" i="1"/>
  <c r="AF76" i="1"/>
  <c r="AF75" i="1"/>
  <c r="AM75" i="1"/>
  <c r="AF47" i="1"/>
  <c r="AM47" i="1"/>
  <c r="AM163" i="1"/>
  <c r="B17" i="3"/>
  <c r="AF163" i="1"/>
  <c r="AM17" i="1"/>
  <c r="AM152" i="1"/>
  <c r="AM151" i="1"/>
  <c r="AM148" i="1"/>
  <c r="AM145" i="1"/>
  <c r="AM141" i="1"/>
  <c r="AM137" i="1"/>
  <c r="AM130" i="1"/>
  <c r="AM45" i="1"/>
  <c r="AM103" i="1"/>
  <c r="AM29" i="1"/>
  <c r="AM28" i="1"/>
  <c r="AM102" i="1"/>
  <c r="AM101" i="1"/>
  <c r="AM27" i="1"/>
  <c r="AM61" i="1"/>
  <c r="AM100" i="1"/>
  <c r="AM26" i="1"/>
  <c r="AM60" i="1"/>
  <c r="AM59" i="1"/>
  <c r="AM99" i="1"/>
  <c r="AM25" i="1"/>
  <c r="AM24" i="1"/>
  <c r="AM58" i="1"/>
  <c r="AM23" i="1"/>
  <c r="AM22" i="1"/>
  <c r="AM57" i="1"/>
  <c r="AM21" i="1"/>
  <c r="AM131" i="1"/>
  <c r="AM20" i="1"/>
  <c r="AM128" i="1"/>
  <c r="AM98" i="1"/>
  <c r="AM97" i="1"/>
  <c r="AM96" i="1"/>
  <c r="AM95" i="1"/>
  <c r="AM56" i="1"/>
  <c r="AM94" i="1"/>
  <c r="AM19" i="1"/>
  <c r="AM55" i="1"/>
  <c r="AM92" i="1"/>
  <c r="AM91" i="1"/>
  <c r="AM90" i="1"/>
  <c r="AM89" i="1"/>
  <c r="AM127" i="1"/>
  <c r="AM54" i="1"/>
  <c r="AM108" i="1"/>
  <c r="AM162" i="1"/>
  <c r="AM161" i="1"/>
  <c r="AM160" i="1"/>
  <c r="AM159" i="1"/>
  <c r="AM158" i="1"/>
  <c r="AM43" i="1"/>
  <c r="AM88" i="1"/>
  <c r="AM87" i="1"/>
  <c r="AM35" i="1"/>
  <c r="AM134" i="1"/>
  <c r="AM53" i="1"/>
  <c r="AM133" i="1"/>
  <c r="AM86" i="1"/>
  <c r="AM85" i="1"/>
  <c r="AM18" i="1"/>
  <c r="AM84" i="1"/>
  <c r="AM83" i="1"/>
  <c r="AM52" i="1"/>
  <c r="AM113" i="1"/>
  <c r="AM41" i="1"/>
  <c r="AM14" i="1"/>
  <c r="AM72" i="1"/>
  <c r="AM71" i="1"/>
  <c r="AM13" i="1"/>
  <c r="AM12" i="1"/>
  <c r="AM40" i="1"/>
  <c r="AM70" i="1"/>
  <c r="AM11" i="1"/>
  <c r="AM10" i="1"/>
  <c r="AM8" i="1"/>
  <c r="AM39" i="1"/>
  <c r="AM107" i="1"/>
  <c r="AM33" i="1"/>
  <c r="AM65" i="1"/>
  <c r="AM106" i="1"/>
  <c r="AM32" i="1"/>
  <c r="AM31" i="1"/>
  <c r="AM64" i="1"/>
  <c r="AM150" i="1"/>
  <c r="AM149" i="1"/>
  <c r="AM147" i="1"/>
  <c r="AM146" i="1"/>
  <c r="AM144" i="1"/>
  <c r="AM142" i="1"/>
  <c r="AM140" i="1"/>
  <c r="AM138" i="1"/>
  <c r="AM136" i="1"/>
  <c r="AM132" i="1"/>
  <c r="AM129" i="1"/>
  <c r="AM105" i="1"/>
  <c r="AF105" i="1"/>
  <c r="AF30" i="1"/>
  <c r="AM30" i="1"/>
  <c r="AF63" i="1"/>
  <c r="AM63" i="1"/>
  <c r="AF157" i="1"/>
  <c r="AM157" i="1"/>
  <c r="AF143" i="1"/>
  <c r="AM143" i="1"/>
  <c r="AM139" i="1"/>
  <c r="AM135" i="1"/>
  <c r="AM74" i="1"/>
  <c r="AM16" i="1"/>
  <c r="AM114" i="1"/>
  <c r="AM42" i="1"/>
  <c r="AM156" i="1"/>
  <c r="AM82" i="1"/>
  <c r="AM155" i="1"/>
  <c r="AM154" i="1"/>
  <c r="AM153" i="1"/>
  <c r="C20" i="4" l="1"/>
  <c r="F8" i="4"/>
  <c r="E20" i="4"/>
  <c r="I16" i="4"/>
  <c r="I11" i="4"/>
  <c r="F20" i="4"/>
  <c r="H20" i="4"/>
  <c r="I15" i="4"/>
  <c r="I14" i="4"/>
  <c r="I17" i="4"/>
  <c r="I19" i="4"/>
  <c r="I12" i="4"/>
  <c r="I13" i="4"/>
  <c r="I18" i="4"/>
  <c r="G20" i="4"/>
  <c r="D20" i="4"/>
  <c r="T2" i="1"/>
  <c r="V2" i="1"/>
  <c r="M78" i="3"/>
  <c r="B1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 Robert Coelho Pinto</author>
  </authors>
  <commentList>
    <comment ref="AI8" authorId="0" shapeId="0" xr:uid="{0FD269F3-0690-4E97-8348-6A36C8203F9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274</t>
        </r>
      </text>
    </comment>
    <comment ref="AI9" authorId="0" shapeId="0" xr:uid="{F41ED61F-75F1-4977-A8A1-6E38ECFAB48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274</t>
        </r>
      </text>
    </comment>
    <comment ref="AI10" authorId="0" shapeId="0" xr:uid="{F56DA1CC-4261-4852-A246-7B3F66AC7BB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</t>
        </r>
      </text>
    </comment>
    <comment ref="AC12" authorId="0" shapeId="0" xr:uid="{396DC668-D347-43EB-A6FF-FF7044E586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22.000</t>
        </r>
      </text>
    </comment>
    <comment ref="AI12" authorId="0" shapeId="0" xr:uid="{1F25B37C-917E-4153-9C9A-2BE187AD241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180</t>
        </r>
      </text>
    </comment>
    <comment ref="AK12" authorId="0" shapeId="0" xr:uid="{E80CEA6D-779B-422B-A73C-647952654D6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12" authorId="0" shapeId="0" xr:uid="{39B25E71-7E5F-4196-BE2F-1244DF51624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113.203</t>
        </r>
      </text>
    </comment>
    <comment ref="AC13" authorId="0" shapeId="0" xr:uid="{C938C0F0-D6FE-40AA-8C06-33F231CB992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19.500</t>
        </r>
      </text>
    </comment>
    <comment ref="AI13" authorId="0" shapeId="0" xr:uid="{A2E8B781-89D0-4F51-9779-1D071D7D4CB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180</t>
        </r>
      </text>
    </comment>
    <comment ref="AK13" authorId="0" shapeId="0" xr:uid="{6A05AA0E-98BB-48E1-8545-27E1C3C1267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13" authorId="0" shapeId="0" xr:uid="{1D281500-EEB5-4BA3-A5C1-9F79B3D4610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96.981</t>
        </r>
      </text>
    </comment>
    <comment ref="AI15" authorId="0" shapeId="0" xr:uid="{3B5AFF47-C280-4E39-AB1B-C6D2EB60F622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259</t>
        </r>
      </text>
    </comment>
    <comment ref="AJ15" authorId="0" shapeId="0" xr:uid="{2FF434B3-DAF4-48F3-A5DE-10AB43190F7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1.030</t>
        </r>
      </text>
    </comment>
    <comment ref="AC17" authorId="0" shapeId="0" xr:uid="{89858942-B14A-4B22-B46A-9CA2AFDB5E2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169.349</t>
        </r>
      </text>
    </comment>
    <comment ref="AI17" authorId="0" shapeId="0" xr:uid="{09C0963F-2291-4881-8A6B-57F02C9ED9C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235</t>
        </r>
      </text>
    </comment>
    <comment ref="AK17" authorId="0" shapeId="0" xr:uid="{F8397D49-A8C1-4CAB-BBFF-0641C736FA7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17" authorId="0" shapeId="0" xr:uid="{E8514476-F654-4FE8-AB6B-2955443AAE5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117.604</t>
        </r>
      </text>
    </comment>
    <comment ref="AI21" authorId="0" shapeId="0" xr:uid="{21464208-57F0-4C73-BB6D-53ACD0EAA5E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323</t>
        </r>
      </text>
    </comment>
    <comment ref="AJ21" authorId="0" shapeId="0" xr:uid="{DA04B798-FB26-4FFA-B0E4-B3B9ADA7382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319
</t>
        </r>
      </text>
    </comment>
    <comment ref="AK21" authorId="0" shapeId="0" xr:uid="{5C2791BA-D3C6-434E-B0BF-893A85DE69D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650</t>
        </r>
      </text>
    </comment>
    <comment ref="AN21" authorId="0" shapeId="0" xr:uid="{0AD2C5D4-568A-44DB-A4A9-722F34D9771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209,808</t>
        </r>
      </text>
    </comment>
    <comment ref="AJ22" authorId="0" shapeId="0" xr:uid="{8717B46A-4CFF-43B0-820B-95AE24786B6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509</t>
        </r>
      </text>
    </comment>
    <comment ref="AN22" authorId="0" shapeId="0" xr:uid="{57595505-6710-47CF-BB63-9E668B2E86F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205.721</t>
        </r>
      </text>
    </comment>
    <comment ref="AI23" authorId="0" shapeId="0" xr:uid="{08A2C879-4A8C-47C9-A673-2080BDDC8E7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325</t>
        </r>
      </text>
    </comment>
    <comment ref="AJ23" authorId="0" shapeId="0" xr:uid="{23FCA918-5249-4C5A-B80A-18E2AB82460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313</t>
        </r>
      </text>
    </comment>
    <comment ref="AN23" authorId="0" shapeId="0" xr:uid="{AA66A884-D804-45F9-A124-382C604ADE0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487.144</t>
        </r>
      </text>
    </comment>
    <comment ref="AK24" authorId="0" shapeId="0" xr:uid="{8BA46198-BBC3-4BEA-AE66-A6A6BC6F855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750</t>
        </r>
      </text>
    </comment>
    <comment ref="AN24" authorId="0" shapeId="0" xr:uid="{E682A0FD-A1ED-4318-A6A7-096E61DD8D0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324.544</t>
        </r>
      </text>
    </comment>
    <comment ref="AK25" authorId="0" shapeId="0" xr:uid="{66189018-4ABE-4E1C-A9E7-80149B354BD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750</t>
        </r>
      </text>
    </comment>
    <comment ref="AN25" authorId="0" shapeId="0" xr:uid="{8E775417-75E2-4CD5-8957-1291848D726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281.793</t>
        </r>
      </text>
    </comment>
    <comment ref="AC27" authorId="0" shapeId="0" xr:uid="{D090A27E-ABE8-49BC-81C4-6EAFF542483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81.040</t>
        </r>
      </text>
    </comment>
    <comment ref="AI27" authorId="0" shapeId="0" xr:uid="{05CF4C02-4345-4A45-912C-4F319B2371C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1.013</t>
        </r>
      </text>
    </comment>
    <comment ref="AJ27" authorId="0" shapeId="0" xr:uid="{45BC5696-EA34-431B-B743-662B4D215F5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80</t>
        </r>
      </text>
    </comment>
    <comment ref="AN27" authorId="0" shapeId="0" xr:uid="{9F52256B-E196-4DFF-BF5E-6D7BB033D23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911.700</t>
        </r>
      </text>
    </comment>
    <comment ref="AI29" authorId="0" shapeId="0" xr:uid="{80C3582D-F0AE-4EBC-9588-8D85CDEADCA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</t>
        </r>
      </text>
    </comment>
    <comment ref="AC30" authorId="0" shapeId="0" xr:uid="{C72934C5-888D-402A-80DC-90A566A9B2A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224.990</t>
        </r>
      </text>
    </comment>
    <comment ref="AJ30" authorId="0" shapeId="0" xr:uid="{D386192F-3337-4F3D-8E41-C71CF0FEB5E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774</t>
        </r>
      </text>
    </comment>
    <comment ref="AK30" authorId="0" shapeId="0" xr:uid="{EEACD062-EF02-4171-8FA1-92BD95FA461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530</t>
        </r>
      </text>
    </comment>
    <comment ref="AN30" authorId="0" shapeId="0" xr:uid="{2E7B6035-4B7C-4846-A168-D54D751275C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154.063</t>
        </r>
      </text>
    </comment>
    <comment ref="AC31" authorId="0" shapeId="0" xr:uid="{81663C54-3D0E-4D6E-A8ED-5225FBBBB59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178.861</t>
        </r>
      </text>
    </comment>
    <comment ref="AI31" authorId="0" shapeId="0" xr:uid="{E6FE3473-1EE4-47B0-878F-16AE420015D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225</t>
        </r>
      </text>
    </comment>
    <comment ref="AJ31" authorId="0" shapeId="0" xr:uid="{74DF9236-07EA-40D1-A999-CE49BBDE091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706</t>
        </r>
      </text>
    </comment>
    <comment ref="AK31" authorId="0" shapeId="0" xr:uid="{4026787B-FB15-41A8-A982-30D11A60833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530</t>
        </r>
      </text>
    </comment>
    <comment ref="AN31" authorId="0" shapeId="0" xr:uid="{A4B14D2C-09F6-4800-B43C-53A0882119E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141.780</t>
        </r>
      </text>
    </comment>
    <comment ref="AC32" authorId="0" shapeId="0" xr:uid="{7E7FFC8F-96BD-40F9-89D3-C82210C3D55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30.226</t>
        </r>
      </text>
    </comment>
    <comment ref="AI32" authorId="0" shapeId="0" xr:uid="{F7C4118A-15D6-43BD-B7A7-7F7549CCFD6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242</t>
        </r>
      </text>
    </comment>
    <comment ref="AJ32" authorId="0" shapeId="0" xr:uid="{1963F90F-204A-45DA-B1A2-4F915C25D66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1.253</t>
        </r>
      </text>
    </comment>
    <comment ref="AK32" authorId="0" shapeId="0" xr:uid="{D420C7F6-6C70-446E-934C-2BE2F10A398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32" authorId="0" shapeId="0" xr:uid="{F1114D5E-105C-4C9A-8D2D-00E80134BE7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133.100</t>
        </r>
      </text>
    </comment>
    <comment ref="V34" authorId="0" shapeId="0" xr:uid="{95A3F3EF-F325-4120-AF8E-6828CC059190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era 650</t>
        </r>
      </text>
    </comment>
    <comment ref="B38" authorId="0" shapeId="0" xr:uid="{09431BDC-C726-40EE-9C53-246664E5F8C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ÁREA DA INFRAURB (RAMON)
</t>
        </r>
      </text>
    </comment>
    <comment ref="V38" authorId="0" shapeId="0" xr:uid="{BD4C8BCC-5479-40D4-A436-519D6076C7A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MINORITÁRIOS</t>
        </r>
      </text>
    </comment>
    <comment ref="AB38" authorId="0" shapeId="0" xr:uid="{9197DC5E-900A-479E-80A7-AECA03F3B8B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MINORITÁRIOS</t>
        </r>
      </text>
    </comment>
    <comment ref="AC38" authorId="0" shapeId="0" xr:uid="{C8830282-86CA-4F41-8337-2430E229006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390.020</t>
        </r>
      </text>
    </comment>
    <comment ref="AI38" authorId="0" shapeId="0" xr:uid="{275A53BC-7C40-4D22-9FF7-782608E4570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300</t>
        </r>
      </text>
    </comment>
    <comment ref="AJ38" authorId="0" shapeId="0" xr:uid="{CE734E69-885C-4E7D-B074-5F73F1295CC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1.300</t>
        </r>
      </text>
    </comment>
    <comment ref="AC45" authorId="0" shapeId="0" xr:uid="{B6FAD66D-8C7D-46F1-90B7-60B016B275E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224.518
</t>
        </r>
      </text>
    </comment>
    <comment ref="AI45" authorId="0" shapeId="0" xr:uid="{CA9348DE-BEDB-4599-9303-CD2D0A79AC4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236</t>
        </r>
      </text>
    </comment>
    <comment ref="AN45" authorId="0" shapeId="0" xr:uid="{4BC5CE2D-9C75-4B3F-9E98-10C7A3E5297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118.043</t>
        </r>
      </text>
    </comment>
    <comment ref="AC46" authorId="0" shapeId="0" xr:uid="{B2A019D0-A6E0-46DB-BF6A-CF4BF7C5AC5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240.277</t>
        </r>
      </text>
    </comment>
    <comment ref="AI46" authorId="0" shapeId="0" xr:uid="{7DEAD820-7844-44C7-8ADB-D4C0A000F75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215</t>
        </r>
      </text>
    </comment>
    <comment ref="AK46" authorId="0" shapeId="0" xr:uid="{837240D6-98C3-4DAC-A08A-027ED2C835E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46" authorId="0" shapeId="0" xr:uid="{96110B2E-0FD7-418B-941B-02D654F704A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 107.267</t>
        </r>
      </text>
    </comment>
    <comment ref="L47" authorId="0" shapeId="0" xr:uid="{D1BD0FFD-A3FD-4285-8F62-1BFA26750D7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Tangará da Serra na planilha de Zefera tem uma área para o Residencial Parque Jardim. As informações não batem com essa planilha.</t>
        </r>
      </text>
    </comment>
    <comment ref="AI47" authorId="0" shapeId="0" xr:uid="{C5BE1956-48A6-48F6-8A53-870E12049BC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270</t>
        </r>
      </text>
    </comment>
    <comment ref="AJ47" authorId="0" shapeId="0" xr:uid="{719AFBCB-A1CE-4792-AFC2-EA0785B44E3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918</t>
        </r>
      </text>
    </comment>
    <comment ref="AC48" authorId="0" shapeId="0" xr:uid="{DCDCF6ED-972E-4037-9AEC-593000B12BE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226.990</t>
        </r>
      </text>
    </comment>
    <comment ref="AI48" authorId="0" shapeId="0" xr:uid="{F0F45C97-67DF-4F4E-A150-3B18AEFD68F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219</t>
        </r>
      </text>
    </comment>
    <comment ref="AK48" authorId="0" shapeId="0" xr:uid="{7E9A7101-96AF-4D5C-A590-9C92029A1CE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48" authorId="0" shapeId="0" xr:uid="{9591FE1D-9B20-4A9A-9F6C-7F9A820F254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109.657</t>
        </r>
      </text>
    </comment>
    <comment ref="AC56" authorId="0" shapeId="0" xr:uid="{D9E6F80A-A8D5-4EBB-B128-5142EAC01E1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130.187</t>
        </r>
      </text>
    </comment>
    <comment ref="AI56" authorId="0" shapeId="0" xr:uid="{CF2E85D7-9058-4D81-A3EC-4E5E0898567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220</t>
        </r>
      </text>
    </comment>
    <comment ref="AJ56" authorId="0" shapeId="0" xr:uid="{143A7C47-FF30-49A4-B13F-168291710E4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592</t>
        </r>
      </text>
    </comment>
    <comment ref="AK56" authorId="0" shapeId="0" xr:uid="{7D7D2CDD-F7FC-46C8-AC11-CDC3475082D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56" authorId="0" shapeId="0" xr:uid="{5DF3C658-1FFD-4638-A6A4-870E67B5F9C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120.951</t>
        </r>
      </text>
    </comment>
    <comment ref="AK57" authorId="0" shapeId="0" xr:uid="{10D4BF82-1FE4-4540-9E02-4723E5FDDE0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650</t>
        </r>
      </text>
    </comment>
    <comment ref="AN57" authorId="0" shapeId="0" xr:uid="{6E5B27B3-CADC-41C0-A09F-DD92147F7C5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204.199</t>
        </r>
      </text>
    </comment>
    <comment ref="AI58" authorId="0" shapeId="0" xr:uid="{49276C08-604B-4539-B321-A5A3C129D3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335</t>
        </r>
      </text>
    </comment>
    <comment ref="AJ58" authorId="0" shapeId="0" xr:uid="{B54F9B74-A8CF-4A5A-ABD0-23233DAF1B5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815</t>
        </r>
      </text>
    </comment>
    <comment ref="AI61" authorId="0" shapeId="0" xr:uid="{6A7F28F6-4143-4EED-BCA0-B9F9C222E29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369</t>
        </r>
      </text>
    </comment>
    <comment ref="AJ61" authorId="0" shapeId="0" xr:uid="{822FDD60-A100-4D3E-903B-A29B4EDAFD2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896</t>
        </r>
      </text>
    </comment>
    <comment ref="AK63" authorId="0" shapeId="0" xr:uid="{B816C2B8-3BAE-4CE8-810C-156596C99565}">
      <text>
        <r>
          <rPr>
            <b/>
            <sz val="9"/>
            <color indexed="81"/>
            <rFont val="Segoe UI"/>
            <family val="2"/>
          </rPr>
          <t xml:space="preserve">Erick Robert Coelho Pinto
</t>
        </r>
        <r>
          <rPr>
            <sz val="9"/>
            <color indexed="81"/>
            <rFont val="Segoe UI"/>
            <family val="2"/>
          </rPr>
          <t>Antes era 530</t>
        </r>
      </text>
    </comment>
    <comment ref="AN63" authorId="0" shapeId="0" xr:uid="{FDEC7413-8BE0-492A-9D9B-89E9612598E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Valor antes 145.834</t>
        </r>
      </text>
    </comment>
    <comment ref="AK64" authorId="0" shapeId="0" xr:uid="{05BE4E58-236E-4D1D-910B-46F32518BF6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530
</t>
        </r>
      </text>
    </comment>
    <comment ref="AN64" authorId="0" shapeId="0" xr:uid="{71EFE490-EA5D-4CB8-A88E-BD6DD3FDC5E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159.099</t>
        </r>
      </text>
    </comment>
    <comment ref="AC65" authorId="0" shapeId="0" xr:uid="{38825BCF-6B78-4911-A892-5B5ED13638F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396.000</t>
        </r>
      </text>
    </comment>
    <comment ref="AI65" authorId="0" shapeId="0" xr:uid="{3BD1B2A8-6DAE-457F-B981-0EF6B482618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225</t>
        </r>
      </text>
    </comment>
    <comment ref="AJ65" authorId="0" shapeId="0" xr:uid="{D344B7EA-73C0-400B-A3D4-2439B286A79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1.760</t>
        </r>
      </text>
    </comment>
    <comment ref="AK65" authorId="0" shapeId="0" xr:uid="{FBA6CB20-A5B2-4C6D-A4C3-DDE270A712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65" authorId="0" shapeId="0" xr:uid="{D5E60321-E52D-4875-BBA9-601ABA7A291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112.485</t>
        </r>
      </text>
    </comment>
    <comment ref="AC71" authorId="0" shapeId="0" xr:uid="{F0C6A385-02B8-41CA-8169-E27BBDBF09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186.732</t>
        </r>
      </text>
    </comment>
    <comment ref="AI71" authorId="0" shapeId="0" xr:uid="{03AFF144-1DCD-4162-A551-0382C7A34A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180</t>
        </r>
      </text>
    </comment>
    <comment ref="AK71" authorId="0" shapeId="0" xr:uid="{3140D8D1-FDD4-4CE5-8268-DB9DEFF4C3C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71" authorId="0" shapeId="0" xr:uid="{34B2DA3F-CEE8-4998-B9EF-C5325378F5D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96.981</t>
        </r>
      </text>
    </comment>
    <comment ref="AC72" authorId="0" shapeId="0" xr:uid="{0B1AE9CC-EE89-4009-B28B-183051C261D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108.000</t>
        </r>
      </text>
    </comment>
    <comment ref="AI72" authorId="0" shapeId="0" xr:uid="{4F8EE899-27AB-40D8-85C7-25A3A61B711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216</t>
        </r>
      </text>
    </comment>
    <comment ref="AK72" authorId="0" shapeId="0" xr:uid="{6492AF3B-DE83-44EE-92B2-667CFF4F0CC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380</t>
        </r>
      </text>
    </comment>
    <comment ref="AN72" authorId="0" shapeId="0" xr:uid="{D6FDFDBC-F266-4970-86E9-98F35BF0D5D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82,080</t>
        </r>
      </text>
    </comment>
    <comment ref="AC78" authorId="0" shapeId="0" xr:uid="{44B8E681-5D24-470F-9F44-0C17C46BA01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271.959</t>
        </r>
      </text>
    </comment>
    <comment ref="AJ78" authorId="0" shapeId="0" xr:uid="{098B79E8-D280-435B-9310-3E9412AC973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ates estava 835 na planilha do Zefera é 755</t>
        </r>
      </text>
    </comment>
    <comment ref="AK78" authorId="0" shapeId="0" xr:uid="{41C2EDAF-73DF-4C68-AF1C-DC4907EB24F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1.500</t>
        </r>
      </text>
    </comment>
    <comment ref="AN78" authorId="0" shapeId="0" xr:uid="{EC768AA2-1271-4132-B4D9-C90A9D65C6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540.316
</t>
        </r>
      </text>
    </comment>
    <comment ref="AC79" authorId="0" shapeId="0" xr:uid="{BE674A48-5F63-40C4-9D29-1454841D127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328.198</t>
        </r>
      </text>
    </comment>
    <comment ref="AI79" authorId="0" shapeId="0" xr:uid="{1E091FA5-451B-413C-9387-B25EE564DA6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253</t>
        </r>
      </text>
    </comment>
    <comment ref="AJ79" authorId="0" shapeId="0" xr:uid="{402275D9-8391-4FD0-BC4E-423413CCC70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1.304</t>
        </r>
      </text>
    </comment>
    <comment ref="AK79" authorId="0" shapeId="0" xr:uid="{D8155254-CFAD-4B10-A6E8-9D9CE4EBB76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430</t>
        </r>
      </text>
    </comment>
    <comment ref="AN79" authorId="0" shapeId="0" xr:uid="{5B2EA765-DB87-4B9B-AD72-93546CD5CCF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107.225</t>
        </r>
      </text>
    </comment>
    <comment ref="N81" authorId="0" shapeId="0" xr:uid="{712A08F1-8B65-4F24-863A-75A14E4296B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área que sobrou por ser de alagamento as demais áreas foram lançadas</t>
        </r>
      </text>
    </comment>
    <comment ref="AI84" authorId="0" shapeId="0" xr:uid="{C12CC61E-AD39-4E2C-8654-8DC868295C1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230</t>
        </r>
      </text>
    </comment>
    <comment ref="AJ84" authorId="0" shapeId="0" xr:uid="{A53B0A96-E2E3-4F98-9A07-3B1CDCA42DE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1.140</t>
        </r>
      </text>
    </comment>
    <comment ref="AK95" authorId="0" shapeId="0" xr:uid="{CE1CCA6D-D064-45CF-A186-0F0CFBAFC3ED}">
      <text>
        <r>
          <rPr>
            <b/>
            <sz val="9"/>
            <color indexed="81"/>
            <rFont val="Segoe UI"/>
            <family val="2"/>
          </rPr>
          <t>Erick Robert Coelho Pinto
antes 550</t>
        </r>
      </text>
    </comment>
    <comment ref="AN95" authorId="0" shapeId="0" xr:uid="{0BB28901-DECE-4145-BF0D-79B9816B050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120.953</t>
        </r>
      </text>
    </comment>
    <comment ref="AK96" authorId="0" shapeId="0" xr:uid="{EBFE5725-2151-4BA3-8F6A-E18946EDD824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550</t>
        </r>
      </text>
    </comment>
    <comment ref="AN96" authorId="0" shapeId="0" xr:uid="{6079DD70-C618-4446-BEDA-823E4B9B700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143.000</t>
        </r>
      </text>
    </comment>
    <comment ref="AI97" authorId="0" shapeId="0" xr:uid="{61152C7D-BC59-47CD-88D5-D1BB6D63E3C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210</t>
        </r>
      </text>
    </comment>
    <comment ref="AK99" authorId="0" shapeId="0" xr:uid="{97F9606C-2ED4-42E8-AF00-9CA99090484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700</t>
        </r>
      </text>
    </comment>
    <comment ref="AN99" authorId="0" shapeId="0" xr:uid="{60C58D56-4E02-4501-92FD-BC4D4B1078B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231.397</t>
        </r>
      </text>
    </comment>
    <comment ref="AC101" authorId="0" shapeId="0" xr:uid="{60FCAC3F-50BB-4B3E-B946-670465C69C5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244.097</t>
        </r>
      </text>
    </comment>
    <comment ref="AJ101" authorId="0" shapeId="0" xr:uid="{EE954601-4C77-49E8-8803-0E0BEFB2C6D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1.085</t>
        </r>
      </text>
    </comment>
    <comment ref="AK105" authorId="0" shapeId="0" xr:uid="{9AA7F48B-4396-4A9F-9E6E-EEA009B39CA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530
</t>
        </r>
      </text>
    </comment>
    <comment ref="AN105" authorId="0" shapeId="0" xr:uid="{52B42670-C429-4CFF-9189-914DDD5CAE8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145.750</t>
        </r>
      </text>
    </comment>
    <comment ref="AK107" authorId="0" shapeId="0" xr:uid="{A99EBBC9-D16A-4065-9A3E-3AC6D77B5D1E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era 650</t>
        </r>
      </text>
    </comment>
    <comment ref="AC108" authorId="0" shapeId="0" xr:uid="{C3819C3B-0C4F-4168-8CE2-577D69F3956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200.045</t>
        </r>
      </text>
    </comment>
    <comment ref="AI108" authorId="0" shapeId="0" xr:uid="{C72FAE47-6B69-444C-9A51-A4F280C4C9E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268</t>
        </r>
      </text>
    </comment>
    <comment ref="AJ108" authorId="0" shapeId="0" xr:uid="{9E4C5FE6-6C5A-446F-AB72-7A79D3E2E64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747</t>
        </r>
      </text>
    </comment>
    <comment ref="AK108" authorId="0" shapeId="0" xr:uid="{CB0D4EFC-CF60-4788-8E61-5230E34677F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108" authorId="0" shapeId="0" xr:uid="{A888F085-7EE3-4125-8DE5-5D0BB892B07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130.942</t>
        </r>
      </text>
    </comment>
    <comment ref="AI117" authorId="0" shapeId="0" xr:uid="{AD68C577-981D-4D00-8FFB-2C780490B96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230</t>
        </r>
      </text>
    </comment>
    <comment ref="AJ117" authorId="0" shapeId="0" xr:uid="{F4D8C316-72B9-4DBA-8558-625D9467763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1.140</t>
        </r>
      </text>
    </comment>
    <comment ref="B128" authorId="0" shapeId="0" xr:uid="{82F862F8-733C-4CC4-93E9-B5ABEFE549C4}">
      <text>
        <r>
          <rPr>
            <b/>
            <sz val="9"/>
            <color indexed="81"/>
            <rFont val="Segoe UI"/>
            <family val="2"/>
          </rPr>
          <t xml:space="preserve">Erick Robert Coelho Pinto
</t>
        </r>
        <r>
          <rPr>
            <sz val="9"/>
            <color indexed="81"/>
            <rFont val="Segoe UI"/>
            <family val="2"/>
          </rPr>
          <t xml:space="preserve">na planilha da regional tem 3b e na planilha da matriz tem 3c verificar qual nomenclatura é a correta </t>
        </r>
      </text>
    </comment>
    <comment ref="AC128" authorId="0" shapeId="0" xr:uid="{A741BA05-2277-4BDD-85EA-1D4BED63D13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185.000</t>
        </r>
      </text>
    </comment>
    <comment ref="AJ128" authorId="0" shapeId="0" xr:uid="{7D40E370-8B34-42B0-A605-ECEC5BE5859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1.027</t>
        </r>
      </text>
    </comment>
    <comment ref="AN128" authorId="0" shapeId="0" xr:uid="{87E48A2D-388C-4FD9-948A-2B575B5EF31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 126.095</t>
        </r>
      </text>
    </comment>
    <comment ref="AN129" authorId="0" shapeId="0" xr:uid="{97387152-129A-483D-B592-E369050F6A8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N130" authorId="0" shapeId="0" xr:uid="{2B0A4721-032E-4DD4-B2CE-40BBBE2DBEF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AN132" authorId="0" shapeId="0" xr:uid="{4E5F4025-22D1-441B-A5CC-3D9B91BB3C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K133" authorId="0" shapeId="0" xr:uid="{4D52890C-95FC-4E11-9C6D-9C2192D66AA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era 300</t>
        </r>
      </text>
    </comment>
    <comment ref="AN133" authorId="0" shapeId="0" xr:uid="{5F8F761F-4909-4653-9110-7F788D60136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62.917</t>
        </r>
      </text>
    </comment>
    <comment ref="AK134" authorId="0" shapeId="0" xr:uid="{EF95B317-AA2A-45A4-98F2-A5B516430A2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era 300 e passou para 350</t>
        </r>
      </text>
    </comment>
    <comment ref="AN134" authorId="0" shapeId="0" xr:uid="{806B2EF8-58ED-4419-89AE-A917DC6C3F8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63.047</t>
        </r>
      </text>
    </comment>
    <comment ref="AN136" authorId="0" shapeId="0" xr:uid="{8E738250-4678-49E2-90BE-2215D3E443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N137" authorId="0" shapeId="0" xr:uid="{63AF587C-48AC-4F8A-B8F1-C0271D31D2E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AN138" authorId="0" shapeId="0" xr:uid="{6280D843-8538-42D3-9927-8C9848BA945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140" authorId="0" shapeId="0" xr:uid="{86234F2B-4F32-4B7F-A0C5-BF653E48205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N141" authorId="0" shapeId="0" xr:uid="{5F330CA9-2C3E-48B1-9684-70B68C64514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AN142" authorId="0" shapeId="0" xr:uid="{AD9C32EA-5A69-4374-81C7-1AFEE4A2D7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144" authorId="0" shapeId="0" xr:uid="{46D48BFC-0556-4556-AB10-5EFB46AF090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N145" authorId="0" shapeId="0" xr:uid="{C471EB6C-9A43-486C-B609-9B90D065C78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AN146" authorId="0" shapeId="0" xr:uid="{2D6BD161-FEC5-4E03-81AC-8E948625C9B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147" authorId="0" shapeId="0" xr:uid="{861BA18B-B0D7-467A-B95D-EDAD3160684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N148" authorId="0" shapeId="0" xr:uid="{CF8E21DC-1C2F-4C57-BE1C-038D73D384F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AN149" authorId="0" shapeId="0" xr:uid="{683FA6A3-B745-4B2D-85FE-46970E63072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150" authorId="0" shapeId="0" xr:uid="{2A7DC327-27E8-4D3C-A2DF-13D4102AA12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N151" authorId="0" shapeId="0" xr:uid="{BFE3F5D9-C2CC-4D52-AF53-89428D8EAC4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152" authorId="0" shapeId="0" xr:uid="{FBB3F702-B8F5-4514-BD69-BD073E0D9CA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AC163" authorId="0" shapeId="0" xr:uid="{495DB87A-4D4F-4417-A871-FED727865E4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222.525</t>
        </r>
      </text>
    </comment>
    <comment ref="AI163" authorId="0" shapeId="0" xr:uid="{B958F7FE-9A34-42FB-984E-01A433554DB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215</t>
        </r>
      </text>
    </comment>
    <comment ref="AJ163" authorId="0" shapeId="0" xr:uid="{9AD0829B-CBF8-450D-830D-CD7FEAD0869D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era 1.378 
na planilha do Zefera é 1.035</t>
        </r>
      </text>
    </comment>
    <comment ref="AK163" authorId="0" shapeId="0" xr:uid="{FEA0416D-8261-4629-B3B8-76E78699729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163" authorId="0" shapeId="0" xr:uid="{0F3E7E15-539A-48AD-A2E4-388C336C139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107.500</t>
        </r>
      </text>
    </comment>
    <comment ref="AC164" authorId="0" shapeId="0" xr:uid="{CF47C7AA-99CD-42D3-B403-C3B72DC9784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331.487</t>
        </r>
      </text>
    </comment>
    <comment ref="AI164" authorId="0" shapeId="0" xr:uid="{5A0654E2-8D4A-408A-BFA3-9B16D998360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211</t>
        </r>
      </text>
    </comment>
    <comment ref="AJ164" authorId="0" shapeId="0" xr:uid="{EE81DEAC-F21F-42BD-9CA5-39C9DAA68F1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estava 1.407 
na planilha do Zefera 1.571</t>
        </r>
      </text>
    </comment>
    <comment ref="AK164" authorId="0" shapeId="0" xr:uid="{42112C8C-1BC7-4B06-8B27-809CC41DA7F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164" authorId="0" shapeId="0" xr:uid="{A507FECD-5A82-4897-A1D1-4C4426AA70B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105.502</t>
        </r>
      </text>
    </comment>
    <comment ref="AC166" authorId="0" shapeId="0" xr:uid="{13D6B02B-ECE4-470A-9418-AC149A6EB04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331.487</t>
        </r>
      </text>
    </comment>
    <comment ref="AI166" authorId="0" shapeId="0" xr:uid="{DA1E20C3-9442-45B9-9A45-181B453DA96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211</t>
        </r>
      </text>
    </comment>
    <comment ref="AJ166" authorId="0" shapeId="0" xr:uid="{23F61D7B-8910-46DD-9EFB-94ED27D8FDA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estava 1.407 
na planilha do Zefera 1.571</t>
        </r>
      </text>
    </comment>
    <comment ref="AK166" authorId="0" shapeId="0" xr:uid="{FFA169DF-0FAC-4E96-AE59-8008E6BEF07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166" authorId="0" shapeId="0" xr:uid="{C9405298-16CE-4D44-A70A-325A2540918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105.502</t>
        </r>
      </text>
    </comment>
    <comment ref="AJ173" authorId="0" shapeId="0" xr:uid="{47A7F42B-CF81-44C7-844E-4442BD0ABAE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1.009</t>
        </r>
      </text>
    </comment>
    <comment ref="AI175" authorId="0" shapeId="0" xr:uid="{BA3FC530-F9AD-4EDD-A220-C729CD72118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210</t>
        </r>
      </text>
    </comment>
    <comment ref="AJ175" authorId="0" shapeId="0" xr:uid="{1BB083EF-4A76-4326-BEBD-9E3AE4DE2BC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1.190</t>
        </r>
      </text>
    </comment>
    <comment ref="AC178" authorId="0" shapeId="0" xr:uid="{B0FFEC21-DA99-4B11-88AA-26F5B8A7D3B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98.000</t>
        </r>
      </text>
    </comment>
    <comment ref="AI178" authorId="0" shapeId="0" xr:uid="{B7DA3E63-8C99-46C1-9040-FB01D0D7940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450</t>
        </r>
      </text>
    </comment>
    <comment ref="AJ178" authorId="0" shapeId="0" xr:uid="{A2DE995D-479B-4318-8D56-84A91290ECC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218</t>
        </r>
      </text>
    </comment>
    <comment ref="AN178" authorId="0" shapeId="0" xr:uid="{EAD12529-B911-4602-813C-FEDE0911B20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449.541</t>
        </r>
      </text>
    </comment>
    <comment ref="AC179" authorId="0" shapeId="0" xr:uid="{ED7280D2-654A-4325-81AA-3DE91E107BC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244.097</t>
        </r>
      </text>
    </comment>
    <comment ref="AJ179" authorId="0" shapeId="0" xr:uid="{50B63EA5-B9C9-47FA-9796-A1A28236A28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1.085
</t>
        </r>
      </text>
    </comment>
    <comment ref="AK187" authorId="0" shapeId="0" xr:uid="{ED53CE61-4265-4E84-A51A-49388961EE3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N187" authorId="0" shapeId="0" xr:uid="{32AB8249-8613-4E24-9AA4-00B5A09A0CC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184.874</t>
        </r>
      </text>
    </comment>
    <comment ref="AN189" authorId="0" shapeId="0" xr:uid="{9DFC9412-82FB-4731-ADDD-F40E75EDBE9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C199" authorId="0" shapeId="0" xr:uid="{98F9E83B-D8AB-468B-979F-7E302E5AEC6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132.989</t>
        </r>
      </text>
    </comment>
    <comment ref="AI199" authorId="0" shapeId="0" xr:uid="{724C7F20-C5BE-493A-A1F5-E0FFA709AC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134</t>
        </r>
      </text>
    </comment>
    <comment ref="AJ199" authorId="0" shapeId="0" xr:uid="{8CC22D0C-76C8-4098-9BD1-D58F6B508A8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1.089</t>
        </r>
      </text>
    </comment>
    <comment ref="AN199" authorId="0" shapeId="0" xr:uid="{5C1AC77E-8623-478D-AC3C-30CAFFFD555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94.032</t>
        </r>
      </text>
    </comment>
    <comment ref="AI200" authorId="0" shapeId="0" xr:uid="{6BA2272B-FA5F-401D-9961-AD8FD879489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225</t>
        </r>
      </text>
    </comment>
    <comment ref="AJ200" authorId="0" shapeId="0" xr:uid="{77BCB7BF-AC08-4C1C-A793-769529031BA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1.200</t>
        </r>
      </text>
    </comment>
    <comment ref="AC201" authorId="0" shapeId="0" xr:uid="{4A4A2224-9549-44CA-B3B0-FEAE55F1342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244.097</t>
        </r>
      </text>
    </comment>
    <comment ref="AJ201" authorId="0" shapeId="0" xr:uid="{20F2651C-52FC-4838-9FAE-E2276D25CCC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1.085</t>
        </r>
      </text>
    </comment>
    <comment ref="AN202" authorId="0" shapeId="0" xr:uid="{3F76C120-A393-4DDE-B58A-7B8939BF6AC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N203" authorId="0" shapeId="0" xr:uid="{707A395B-7516-40D0-8F51-8188EB4B681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AK206" authorId="0" shapeId="0" xr:uid="{73CBE4C6-E2DA-4117-A9AB-D92DBD1DCBC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N206" authorId="0" shapeId="0" xr:uid="{AB08AAD3-633C-444E-978D-68272AD42F5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184.874</t>
        </r>
      </text>
    </comment>
    <comment ref="AJ207" authorId="0" shapeId="0" xr:uid="{D1CBCD1A-625E-4385-AD09-C8A1C0AAF0C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530</t>
        </r>
      </text>
    </comment>
    <comment ref="AK207" authorId="0" shapeId="0" xr:uid="{57EFEA61-3F5C-4198-A021-011CFB488D4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1.100</t>
        </r>
      </text>
    </comment>
    <comment ref="AC222" authorId="0" shapeId="0" xr:uid="{969ADD52-DBE4-4E3E-89BD-F8477BFAD3E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57.200</t>
        </r>
      </text>
    </comment>
    <comment ref="AI222" authorId="0" shapeId="0" xr:uid="{2A372C84-EEAF-494B-ABFF-62655987962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260</t>
        </r>
      </text>
    </comment>
    <comment ref="AJ222" authorId="0" shapeId="0" xr:uid="{E70DF731-9890-4705-AAB7-DBEFBBE64C3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220</t>
        </r>
      </text>
    </comment>
    <comment ref="AK222" authorId="0" shapeId="0" xr:uid="{D4C07CB2-0DE5-4F05-A9BD-39B8E7E0830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222" authorId="0" shapeId="0" xr:uid="{4CA459EC-2C03-4EFE-82B3-3B247F935CD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143.000</t>
        </r>
      </text>
    </comment>
    <comment ref="AK224" authorId="0" shapeId="0" xr:uid="{935ECE8B-E6BA-4B9C-86D3-19F6E38BFCC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700</t>
        </r>
      </text>
    </comment>
    <comment ref="AN224" authorId="0" shapeId="0" xr:uid="{BD074F59-D624-4598-8BD5-403874CAE36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312.611</t>
        </r>
      </text>
    </comment>
    <comment ref="AK226" authorId="0" shapeId="0" xr:uid="{71F1E4A7-150B-4EAC-8246-8325692EF03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N226" authorId="0" shapeId="0" xr:uid="{7617C802-DE4E-4885-8558-2654950FCF6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184.874</t>
        </r>
      </text>
    </comment>
    <comment ref="AC228" authorId="0" shapeId="0" xr:uid="{A6227FDC-87A6-4F27-B69F-60347BF7F05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413.418</t>
        </r>
      </text>
    </comment>
    <comment ref="AI228" authorId="0" shapeId="0" xr:uid="{3AE082B1-0609-4851-88F0-C76B093872D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330</t>
        </r>
      </text>
    </comment>
    <comment ref="AJ228" authorId="0" shapeId="0" xr:uid="{0340CD48-B5DC-41FC-8559-8738269A026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1.252</t>
        </r>
      </text>
    </comment>
    <comment ref="AN228" authorId="0" shapeId="0" xr:uid="{4533B138-3EFE-448D-B3B5-CBAF43C13AB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198.124</t>
        </r>
      </text>
    </comment>
    <comment ref="AN230" authorId="0" shapeId="0" xr:uid="{43305F28-2CF1-45A7-B78C-5B56A421BDD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B231" authorId="0" shapeId="0" xr:uid="{D4FFF996-3440-4574-80BF-67C23E07E09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Na planilha da regional tem a informação geral e na planilha da controladoria está o valor da área dividida em etapas I e II. Quantidade de lotes estão divergente.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 Robert Coelho Pinto</author>
  </authors>
  <commentList>
    <comment ref="AI2" authorId="0" shapeId="0" xr:uid="{DC659D9E-4FEB-409D-B570-3A194385B78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</t>
        </r>
      </text>
    </comment>
    <comment ref="AI3" authorId="0" shapeId="0" xr:uid="{75B5BDED-DBBF-4EEB-9EE9-406416F38F1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</t>
        </r>
      </text>
    </comment>
    <comment ref="AC5" authorId="0" shapeId="0" xr:uid="{25EC11C3-5E7A-4C8C-848F-32085FDBD87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224.518</t>
        </r>
      </text>
    </comment>
    <comment ref="AI5" authorId="0" shapeId="0" xr:uid="{A8B73624-009E-46FF-89C5-CD998ED467E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236</t>
        </r>
      </text>
    </comment>
    <comment ref="AN5" authorId="0" shapeId="0" xr:uid="{382B4EC9-106E-4E3E-AE0E-7FBCC2B1DA1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118.043</t>
        </r>
      </text>
    </comment>
    <comment ref="AC6" authorId="0" shapeId="0" xr:uid="{B97E80DF-58BE-4045-9CEA-CFDB7C49BD3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169.349</t>
        </r>
      </text>
    </comment>
    <comment ref="AI6" authorId="0" shapeId="0" xr:uid="{660999A7-9EA1-44BB-82BE-6F191F53A31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236</t>
        </r>
      </text>
    </comment>
    <comment ref="AK6" authorId="0" shapeId="0" xr:uid="{EE308983-5E2A-4595-A054-81B2FC27958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6" authorId="0" shapeId="0" xr:uid="{F4AAF5B9-DF05-4557-BBFA-DB6DE07928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117.767</t>
        </r>
      </text>
    </comment>
    <comment ref="AI8" authorId="0" shapeId="0" xr:uid="{0D31C0EF-4DAE-417E-8D41-9666C09BA62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270</t>
        </r>
      </text>
    </comment>
    <comment ref="AJ8" authorId="0" shapeId="0" xr:uid="{DE39985A-C981-4856-A3D0-726F030B59A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917</t>
        </r>
      </text>
    </comment>
    <comment ref="AC27" authorId="0" shapeId="0" xr:uid="{4FB6EE78-2904-433F-9BA7-AC197173692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57.200</t>
        </r>
      </text>
    </comment>
    <comment ref="AI27" authorId="0" shapeId="0" xr:uid="{B8C40975-DB76-4DB4-BE9B-B0853076427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260</t>
        </r>
      </text>
    </comment>
    <comment ref="AJ27" authorId="0" shapeId="0" xr:uid="{5150C033-E29E-47FA-BF81-A8728FAAD16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220</t>
        </r>
      </text>
    </comment>
    <comment ref="AK27" authorId="0" shapeId="0" xr:uid="{0EE76BF1-6C01-42D8-9E8F-6CCBFD9909C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27" authorId="0" shapeId="0" xr:uid="{BD047D7C-C8F0-4172-934F-D94CBEEAF8F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143.000</t>
        </r>
      </text>
    </comment>
    <comment ref="AK29" authorId="0" shapeId="0" xr:uid="{B6404B10-EA40-4EB6-8BD3-725D018BF7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N29" authorId="0" shapeId="0" xr:uid="{5EBBEFEC-71F3-4336-BEF2-3F844703FFB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185.133</t>
        </r>
      </text>
    </comment>
    <comment ref="AK30" authorId="0" shapeId="0" xr:uid="{A54F9E32-2F9D-4577-9355-F06EA7DF58F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700</t>
        </r>
      </text>
    </comment>
    <comment ref="AN30" authorId="0" shapeId="0" xr:uid="{9EACC149-8F8A-4747-9795-9F2309B92BA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312.611</t>
        </r>
      </text>
    </comment>
    <comment ref="AC32" authorId="0" shapeId="0" xr:uid="{7C97543F-AB55-4267-AD1C-E325C75E77F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413.418</t>
        </r>
      </text>
    </comment>
    <comment ref="AI32" authorId="0" shapeId="0" xr:uid="{5A2F46FA-7284-4A05-88AD-840E8157A90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330</t>
        </r>
      </text>
    </comment>
    <comment ref="AJ32" authorId="0" shapeId="0" xr:uid="{5E3B8188-94DC-4459-9A05-276DE0137E3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1.252</t>
        </r>
      </text>
    </comment>
    <comment ref="AN32" authorId="0" shapeId="0" xr:uid="{5948CF6F-71AE-431C-9BB3-965BBA7B116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198.124</t>
        </r>
      </text>
    </comment>
    <comment ref="B35" authorId="0" shapeId="0" xr:uid="{23A7B005-C0E5-44DD-9111-134434915CA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Na planilha da regional tem a informação geral e na planilha da controladoria está o valor da área dividida em etapas I e II. Quantidade de lotes estão divergente.</t>
        </r>
      </text>
    </comment>
    <comment ref="AC38" authorId="0" shapeId="0" xr:uid="{84821BB7-D993-45B6-BBA2-ADD3AF59BD9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108.000</t>
        </r>
      </text>
    </comment>
    <comment ref="AI38" authorId="0" shapeId="0" xr:uid="{7E777AB3-E7B4-4C23-B7F8-A2AA436262C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216</t>
        </r>
      </text>
    </comment>
    <comment ref="AK38" authorId="0" shapeId="0" xr:uid="{8C2CF8F0-D054-435C-9519-DBF790CBB7E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380</t>
        </r>
      </text>
    </comment>
    <comment ref="AN38" authorId="0" shapeId="0" xr:uid="{30B39196-9C0A-4B25-9A86-66969334AE5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82,080</t>
        </r>
      </text>
    </comment>
    <comment ref="S39" authorId="0" shapeId="0" xr:uid="{E744649A-CE9F-4BBE-A1BF-D19FFEAE95E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Estava com lançamento em 2032 e mudei para 2030</t>
        </r>
      </text>
    </comment>
    <comment ref="AJ48" authorId="0" shapeId="0" xr:uid="{54564007-E7C3-43B4-9BDB-EB251BA8F73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1.009</t>
        </r>
      </text>
    </comment>
    <comment ref="AI50" authorId="0" shapeId="0" xr:uid="{525E319A-C106-4AD7-B1D4-B2C976997BA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210</t>
        </r>
      </text>
    </comment>
    <comment ref="AJ50" authorId="0" shapeId="0" xr:uid="{73FF64CF-7ED6-493C-998F-E034A8AFFC0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1.190</t>
        </r>
      </text>
    </comment>
    <comment ref="AC53" authorId="0" shapeId="0" xr:uid="{2C9932D2-D15A-4BD1-AA7A-740FC045308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98.000</t>
        </r>
      </text>
    </comment>
    <comment ref="AI53" authorId="0" shapeId="0" xr:uid="{F1A43E99-FE82-405C-B48E-4C5758341C2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450</t>
        </r>
      </text>
    </comment>
    <comment ref="AJ53" authorId="0" shapeId="0" xr:uid="{C4805D10-50A7-4D16-AF18-FFBB0879818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218</t>
        </r>
      </text>
    </comment>
    <comment ref="AN53" authorId="0" shapeId="0" xr:uid="{0FD041D8-958E-4C6A-831E-DA7B5E70161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449.541</t>
        </r>
      </text>
    </comment>
    <comment ref="AC54" authorId="0" shapeId="0" xr:uid="{F474377B-03AC-4DC9-9069-CA104C95184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244.097</t>
        </r>
      </text>
    </comment>
    <comment ref="AJ54" authorId="0" shapeId="0" xr:uid="{95771FF2-9B1A-4F31-996A-A0E0476C772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1.085
</t>
        </r>
      </text>
    </comment>
    <comment ref="AK62" authorId="0" shapeId="0" xr:uid="{8DAA5058-0256-4511-9723-B08100BE7E4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N62" authorId="0" shapeId="0" xr:uid="{DE18BA86-3CDE-4860-9ECF-D423E0B8068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184.874</t>
        </r>
      </text>
    </comment>
    <comment ref="AN64" authorId="0" shapeId="0" xr:uid="{E36F81E9-3C8E-4110-B20B-A04AE7CA311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C74" authorId="0" shapeId="0" xr:uid="{F0E4EBD0-8D34-450A-8F73-0DC05E6EA9B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132.989</t>
        </r>
      </text>
    </comment>
    <comment ref="AI74" authorId="0" shapeId="0" xr:uid="{CFA21B01-9BBF-4167-8D4D-ECA99E18882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134</t>
        </r>
      </text>
    </comment>
    <comment ref="AJ74" authorId="0" shapeId="0" xr:uid="{7ADA1B73-150E-403E-BFFE-98B47F012CD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1.089</t>
        </r>
      </text>
    </comment>
    <comment ref="AN74" authorId="0" shapeId="0" xr:uid="{440D67F0-8AF5-4E50-8535-F8CCEC549A4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94.032</t>
        </r>
      </text>
    </comment>
    <comment ref="AI75" authorId="0" shapeId="0" xr:uid="{3BEAD55A-CFA4-49F2-B2FF-90B57F75767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225</t>
        </r>
      </text>
    </comment>
    <comment ref="AJ75" authorId="0" shapeId="0" xr:uid="{105AEABA-E506-469A-9021-E4B22373F37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1.200</t>
        </r>
      </text>
    </comment>
    <comment ref="AC76" authorId="0" shapeId="0" xr:uid="{39455F12-B837-4AEE-95EE-2A9E31D12A8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244.097</t>
        </r>
      </text>
    </comment>
    <comment ref="AJ76" authorId="0" shapeId="0" xr:uid="{5DE3A328-648B-465A-BB0E-805016AEC5A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1.085</t>
        </r>
      </text>
    </comment>
    <comment ref="AN77" authorId="0" shapeId="0" xr:uid="{E56F60E8-82D3-44BD-9841-BA272CDF154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N78" authorId="0" shapeId="0" xr:uid="{B0577FC8-B766-476A-8460-E4657300B79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AK82" authorId="0" shapeId="0" xr:uid="{26574F76-9FC9-4953-8AC7-557256DE906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N82" authorId="0" shapeId="0" xr:uid="{A4947C4A-BEEA-4DB1-A50D-D3AA3E7B1DE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184.874</t>
        </r>
      </text>
    </comment>
    <comment ref="AJ83" authorId="0" shapeId="0" xr:uid="{82379BEA-312D-40E2-88ED-FFC6792EDEF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530</t>
        </r>
      </text>
    </comment>
    <comment ref="AK83" authorId="0" shapeId="0" xr:uid="{A2DB11D4-309A-45D1-9112-EFA01C69EA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1.100</t>
        </r>
      </text>
    </comment>
    <comment ref="AN85" authorId="0" shapeId="0" xr:uid="{02D7AC70-7D80-4E45-AA04-FD895698E20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S89" authorId="0" shapeId="0" xr:uid="{25CC1352-FAE7-4709-B609-95E33D1E5BA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Estava com lançamento em 2032 e mudei para 2030</t>
        </r>
      </text>
    </comment>
    <comment ref="AC90" authorId="0" shapeId="0" xr:uid="{4805DBBF-5AB3-45CE-A640-9843F1FEEBD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108.000</t>
        </r>
      </text>
    </comment>
    <comment ref="AI90" authorId="0" shapeId="0" xr:uid="{9678D100-E4C3-4996-B6CB-2AC0F279E3B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216</t>
        </r>
      </text>
    </comment>
    <comment ref="AK90" authorId="0" shapeId="0" xr:uid="{76BEE8B2-9235-43B2-855B-3D33491A7C2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380</t>
        </r>
      </text>
    </comment>
    <comment ref="AN90" authorId="0" shapeId="0" xr:uid="{503CE5D6-8F79-4DDB-865B-DB100CE9E87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82,080</t>
        </r>
      </text>
    </comment>
    <comment ref="AI91" authorId="0" shapeId="0" xr:uid="{7068F12E-7896-47A2-BDD2-725D0D9E4392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259</t>
        </r>
      </text>
    </comment>
    <comment ref="AJ91" authorId="0" shapeId="0" xr:uid="{3C58C22D-2E65-4B10-BD38-4ECD61A020F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1.030</t>
        </r>
      </text>
    </comment>
    <comment ref="AI92" authorId="0" shapeId="0" xr:uid="{60FB56DD-85BE-4601-9471-276FC9B36ED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259</t>
        </r>
      </text>
    </comment>
    <comment ref="AJ92" authorId="0" shapeId="0" xr:uid="{7C2B34B8-8591-45C2-B67F-7C829F934CF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1.030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<sst xmlns="http://schemas.openxmlformats.org/spreadsheetml/2006/main" count="4460" uniqueCount="872">
  <si>
    <t>Nome</t>
  </si>
  <si>
    <t>[ON / OFF]</t>
  </si>
  <si>
    <t>Regional</t>
  </si>
  <si>
    <t>Cidade</t>
  </si>
  <si>
    <t>Empreendimento</t>
  </si>
  <si>
    <t>Tipo</t>
  </si>
  <si>
    <t>Year</t>
  </si>
  <si>
    <t>Participação Buriti</t>
  </si>
  <si>
    <t>Participação Buriti + Terreneiro</t>
  </si>
  <si>
    <t>Comisão / Terreneiro</t>
  </si>
  <si>
    <t>Adm. E Manutenção / Terreneiro</t>
  </si>
  <si>
    <t>Tributos / Terreneiro</t>
  </si>
  <si>
    <t>Participação Líquida Terreneiro</t>
  </si>
  <si>
    <t>Data de Lançamento</t>
  </si>
  <si>
    <t>Data de Inicio de Construção</t>
  </si>
  <si>
    <t>Custo Total do Terreno
(Pré Rateio - R$mm)</t>
  </si>
  <si>
    <t>Custo Total do Terreno
(% do VGV)</t>
  </si>
  <si>
    <t>Custo de Construção
(Pré Rateio - R$mm)</t>
  </si>
  <si>
    <t>m2 por Unidade</t>
  </si>
  <si>
    <t>Total de Unidades</t>
  </si>
  <si>
    <t>VGV Total
(R$mm)</t>
  </si>
  <si>
    <t>VGV Total
(R$mm) BT</t>
  </si>
  <si>
    <t>NORTE</t>
  </si>
  <si>
    <t>ELDORADO DO CARAJAS</t>
  </si>
  <si>
    <t>A DEFINIR</t>
  </si>
  <si>
    <t>Loteamento</t>
  </si>
  <si>
    <t>-</t>
  </si>
  <si>
    <t>PARAGOMINAS</t>
  </si>
  <si>
    <t>CIDADE JARDIM III</t>
  </si>
  <si>
    <t>CIDADE JARDIM IV</t>
  </si>
  <si>
    <t xml:space="preserve">PARAUAPEBAS </t>
  </si>
  <si>
    <t>CIDADE JARDIM 12</t>
  </si>
  <si>
    <t>CIDADE JARDIM 13</t>
  </si>
  <si>
    <t>CIDADE JARDIM 14</t>
  </si>
  <si>
    <t>CIDADE JARDIM 15</t>
  </si>
  <si>
    <t>CIDADE JARDIM 16</t>
  </si>
  <si>
    <t>CIDADE JARDIM 17</t>
  </si>
  <si>
    <t>REDENÇÃO</t>
  </si>
  <si>
    <t>A DEFINIR - ÁREA SERRARIA CUMARU</t>
  </si>
  <si>
    <t>SANTARÉM</t>
  </si>
  <si>
    <t>CIDADE JARDIM V</t>
  </si>
  <si>
    <t>CIDADE JARDIM VI</t>
  </si>
  <si>
    <t>XINGUARA</t>
  </si>
  <si>
    <t>RESIDENCIAL JARDIM IPIRANGA II</t>
  </si>
  <si>
    <t>SANTANA DO ARAGUAIA</t>
  </si>
  <si>
    <t>RESIDENCIAL CIDADE JARDIM II</t>
  </si>
  <si>
    <t>RESIDENCIAL CIDADE JARDIM III</t>
  </si>
  <si>
    <t>RESIDENCIAL CIDADE JARDIM IV</t>
  </si>
  <si>
    <t>RESIDENCIAL CIDADE JARDIM V</t>
  </si>
  <si>
    <t>RESIDENCIAL CIDADE JARDIM VI</t>
  </si>
  <si>
    <t>RESIDENCIAL CIDADE JARDIM VII</t>
  </si>
  <si>
    <t>RESIDENCIAL CIDADE JARDIM VIII</t>
  </si>
  <si>
    <t>OURILÂNDIA DO NORTE</t>
  </si>
  <si>
    <t>TOCANTINS</t>
  </si>
  <si>
    <t>PALMAS</t>
  </si>
  <si>
    <t>ARSO 182</t>
  </si>
  <si>
    <t>ARSO 191</t>
  </si>
  <si>
    <t>ARSO 192</t>
  </si>
  <si>
    <t>A DEFINIR - AREA AEROPORTO I</t>
  </si>
  <si>
    <t>A DEFINIR - AREA AEROPORTO II</t>
  </si>
  <si>
    <t>A DEFINIR - AREA AEROPORTO III</t>
  </si>
  <si>
    <t>A DEFINIR - AREA AEROPORTO IV</t>
  </si>
  <si>
    <t>A DEFINIR - AREA AEROPORTO V</t>
  </si>
  <si>
    <t>A DEFINIR - AREA AEROPORTO VI</t>
  </si>
  <si>
    <t>A DEFINIR - AREA AEROPORTO VII</t>
  </si>
  <si>
    <t>A DEFINIR - AREA AEROPORTO VIII</t>
  </si>
  <si>
    <t>A DEFINIR - AREA AEROPORTO IX</t>
  </si>
  <si>
    <t>A DEFINIR - AREA AEROPORTO X</t>
  </si>
  <si>
    <t xml:space="preserve">A DEFINIR - AREA AEROPORTO XI </t>
  </si>
  <si>
    <t>A DEFINIR - AREA AEROPORTO XII</t>
  </si>
  <si>
    <t>A DEFINIR - AREA AEROPORTO XIII</t>
  </si>
  <si>
    <t>A DEFINIR - AREA AEROPORTO XIV</t>
  </si>
  <si>
    <t>A DEFINIR - AREA AEROPORTO XV</t>
  </si>
  <si>
    <t>Condominio</t>
  </si>
  <si>
    <t>LUZIMANGUES</t>
  </si>
  <si>
    <t>LOTE PÉ DA PONTE</t>
  </si>
  <si>
    <t xml:space="preserve">PORANGATU </t>
  </si>
  <si>
    <t>RESIDENCIAL JARDIM AMERICA II</t>
  </si>
  <si>
    <t>BARREIRAS</t>
  </si>
  <si>
    <t>FORMOSA</t>
  </si>
  <si>
    <t>LOTEAMENTO VISTA DO LAGO</t>
  </si>
  <si>
    <t>NORDESTE I</t>
  </si>
  <si>
    <t>ARAPIRACA</t>
  </si>
  <si>
    <t>RESIDENCIAL ALTO DAS BARAUNAS II</t>
  </si>
  <si>
    <t>MARECHAL DEODORO</t>
  </si>
  <si>
    <t>BURITI GARDEN PRIME</t>
  </si>
  <si>
    <t>RIO LARGO</t>
  </si>
  <si>
    <t>RESIDENCIAL CIDADE JARDIM III - STP 3</t>
  </si>
  <si>
    <t>PENEDO</t>
  </si>
  <si>
    <t>ALAGOINHA</t>
  </si>
  <si>
    <t>RESIDENCIAL JARDIM EUROPA 2</t>
  </si>
  <si>
    <t>BARRA DOS COQUEIROS</t>
  </si>
  <si>
    <t>RESIDENCIAL JARDIM EUROPA</t>
  </si>
  <si>
    <t>NORDESTE II</t>
  </si>
  <si>
    <t>CRATO</t>
  </si>
  <si>
    <t>JARDIM TROPICAL</t>
  </si>
  <si>
    <t>ITAPIPOCA</t>
  </si>
  <si>
    <t>JARDIM TROPICAL II</t>
  </si>
  <si>
    <t>TAUÁ</t>
  </si>
  <si>
    <t>JARDIM AMERICA II</t>
  </si>
  <si>
    <t>JARDIM AMERICA III</t>
  </si>
  <si>
    <t>BALSAS</t>
  </si>
  <si>
    <t>RESIDENCIAL CIDADE JARDIM</t>
  </si>
  <si>
    <t>SUDESTE</t>
  </si>
  <si>
    <t>MONTES CLAROS</t>
  </si>
  <si>
    <t xml:space="preserve">UBERABA </t>
  </si>
  <si>
    <t>CHACARA PARAISO</t>
  </si>
  <si>
    <t>COLATINA</t>
  </si>
  <si>
    <t>JARDIM DO VALE II</t>
  </si>
  <si>
    <t>JARDIM DO VALE III</t>
  </si>
  <si>
    <t>JARDIM DO VALE IV</t>
  </si>
  <si>
    <t>BURITI GARDEN PREMIUM</t>
  </si>
  <si>
    <t>DUQUE DE CAXIAS</t>
  </si>
  <si>
    <t>RESIDENCIAL JARDIM EUROPA - COND.</t>
  </si>
  <si>
    <t>RESIDENCIAL CIDADE JARDIM - INDUSTRIAL</t>
  </si>
  <si>
    <t>ITABORAÍ</t>
  </si>
  <si>
    <t>BURITI GARDEN I</t>
  </si>
  <si>
    <t>MACAE</t>
  </si>
  <si>
    <t>RESIDENCIAL CIDADE JARDIM I</t>
  </si>
  <si>
    <t>ARRAIAL DO CABO</t>
  </si>
  <si>
    <t xml:space="preserve">ITAPETININGA </t>
  </si>
  <si>
    <t>A DEFINIR I</t>
  </si>
  <si>
    <t>A DEFINIR II</t>
  </si>
  <si>
    <t>A DEFINIR III</t>
  </si>
  <si>
    <t>LORENA</t>
  </si>
  <si>
    <t>PRESIDENTE PRUDENTE</t>
  </si>
  <si>
    <t>JARDIM IPIRANGA I</t>
  </si>
  <si>
    <t>JARDIM IPIRANGA II</t>
  </si>
  <si>
    <t>JARDIM NOVA AMERICA I E II</t>
  </si>
  <si>
    <t>RESIDENCIAL MADRI</t>
  </si>
  <si>
    <t>ROBERTO NEGRAO I</t>
  </si>
  <si>
    <t>ROBERTO NEGRAO II</t>
  </si>
  <si>
    <t>CAÇAPAVA</t>
  </si>
  <si>
    <t>RESIDENCIAL PARK DOS BURITIS</t>
  </si>
  <si>
    <t>AVARÉ</t>
  </si>
  <si>
    <t>RESIDENCIAL SÃO FRANCISCO DE AVARÉ</t>
  </si>
  <si>
    <t>RESIDENCIAL SÃO FRANCISCO DE AVARÉ II</t>
  </si>
  <si>
    <t>FERNANDOPOLIS</t>
  </si>
  <si>
    <t>POÇOS DE CALDAS</t>
  </si>
  <si>
    <t>RIO DE JANEIRO</t>
  </si>
  <si>
    <t>A DEFINIR  - GUARATIBA</t>
  </si>
  <si>
    <t xml:space="preserve">XEREM </t>
  </si>
  <si>
    <t>CABO FRIO</t>
  </si>
  <si>
    <t>SUL</t>
  </si>
  <si>
    <t>CACHOEIRA DO SUL</t>
  </si>
  <si>
    <t>GUAÍBA</t>
  </si>
  <si>
    <t>PORTO ALEGRE</t>
  </si>
  <si>
    <t>SANTA CRUZ DO SUL</t>
  </si>
  <si>
    <t>SÃO LEOPOLDO</t>
  </si>
  <si>
    <t>CAXIAS DO SUL</t>
  </si>
  <si>
    <t>CANELA</t>
  </si>
  <si>
    <t>VIAMÃO</t>
  </si>
  <si>
    <t>PELOTAS</t>
  </si>
  <si>
    <t>RIO GRANDE DO SUL</t>
  </si>
  <si>
    <t>ALVORADA</t>
  </si>
  <si>
    <t>SAPIRANGA</t>
  </si>
  <si>
    <t>TORRES</t>
  </si>
  <si>
    <t>GUARAPUAVA</t>
  </si>
  <si>
    <t>VITORINO</t>
  </si>
  <si>
    <t>OESTE</t>
  </si>
  <si>
    <t>RIO BRANCO</t>
  </si>
  <si>
    <t>RESIDENCIAL CIDADE JARDIM II - STP 2</t>
  </si>
  <si>
    <t>RESIDENCIAL CIDADE JARDIM IX</t>
  </si>
  <si>
    <t>RESIDENCIAL CIDADE JARDIM X</t>
  </si>
  <si>
    <t>CÁCERES</t>
  </si>
  <si>
    <t>RESIDENCIAL CIDADE JARDIM I - STP2</t>
  </si>
  <si>
    <t>TANGARÁ DA SERRA</t>
  </si>
  <si>
    <t>VARZEA GRANDE</t>
  </si>
  <si>
    <t>BURITI GARDEN PRIME II</t>
  </si>
  <si>
    <t>BURITI GARDEN PRIME III</t>
  </si>
  <si>
    <t>CUIABÁ</t>
  </si>
  <si>
    <t>CACOAL</t>
  </si>
  <si>
    <t>PARK DOS BURITIS II</t>
  </si>
  <si>
    <t>JI-PARANÁ</t>
  </si>
  <si>
    <t>RESIDENCIAL JARDIM AMERICA</t>
  </si>
  <si>
    <t>ROLIM DE MOURA</t>
  </si>
  <si>
    <t>RESIDENCIAL CIDADE JARDIM IIII</t>
  </si>
  <si>
    <t>ARIQUEMES</t>
  </si>
  <si>
    <t>CIDADE JARDIM - ETP I</t>
  </si>
  <si>
    <t>CIDADE JARDIM - ETP II</t>
  </si>
  <si>
    <t>CONCEIÇÃO DO ARAGUAIA</t>
  </si>
  <si>
    <t>RES. BURITI GARDEN</t>
  </si>
  <si>
    <t>GOIÂNIA</t>
  </si>
  <si>
    <t>JARDIM DO CERRADO 5</t>
  </si>
  <si>
    <t>JARDIM DO CERRADO 6</t>
  </si>
  <si>
    <t>JARDIM DO CERRADO 7</t>
  </si>
  <si>
    <t>JARDIM DO CERRADO 8</t>
  </si>
  <si>
    <t>JARDIM DO CERRADO 8 II</t>
  </si>
  <si>
    <t>JARDIM DO CERRADO 9</t>
  </si>
  <si>
    <t>JARDIM DO CERRADO 10</t>
  </si>
  <si>
    <t>JARDIM DO CERRADO 11</t>
  </si>
  <si>
    <t>RESIDENCIAL BELA VISTA - REDENÇÃO</t>
  </si>
  <si>
    <t>CIDADE JARDIM III - SUBETAPA 1 - SANTARÉM</t>
  </si>
  <si>
    <t>CIDADE JARDIM IV - SANTARÉM</t>
  </si>
  <si>
    <t>CIDADE JARDIM V - SANTARÉM</t>
  </si>
  <si>
    <t>CIDADE JARDIM VI - SANTARÉM</t>
  </si>
  <si>
    <t>RESIDENCIAL JARDIM IPIRANGA II - XINGUARA</t>
  </si>
  <si>
    <t>RESIDENCIAL CIDADE JARDIM II - SANTANA DO ARAGUAIA</t>
  </si>
  <si>
    <t>RESIDENCIAL CIDADE JARDIM III - SANTANA DO ARAGUAIA</t>
  </si>
  <si>
    <t>RESIDENCIAL CIDADE JARDIM IV - SANTANA DO ARAGUAIA</t>
  </si>
  <si>
    <t>RESIDENCIAL CIDADE JARDIM V - SANTANA DO ARAGUAIA</t>
  </si>
  <si>
    <t>RESIDENCIAL CIDADE JARDIM VI - SANTANA DO ARAGUAIA</t>
  </si>
  <si>
    <t>RESIDENCIAL CIDADE JARDIM VII - SANTANA DO ARAGUAIA</t>
  </si>
  <si>
    <t>RESIDENCIAL CIDADE JARDIM VIII - SANTANA DO ARAGUAIA</t>
  </si>
  <si>
    <t>A DEFINIR - OURILÂNDIA DO NORTE</t>
  </si>
  <si>
    <t>ARSO 182 - PALMAS</t>
  </si>
  <si>
    <t>ARSO 191 - PALMAS</t>
  </si>
  <si>
    <t>ARSO 192 - PALMAS</t>
  </si>
  <si>
    <t>A DEFINIR - AREA AEROPORTO I - PALMAS</t>
  </si>
  <si>
    <t>A DEFINIR - AREA AEROPORTO II - PALMAS</t>
  </si>
  <si>
    <t>A DEFINIR - AREA AEROPORTO III - PALMAS</t>
  </si>
  <si>
    <t>A DEFINIR - AREA AEROPORTO IV - PALMAS</t>
  </si>
  <si>
    <t>A DEFINIR - AREA AEROPORTO V - PALMAS</t>
  </si>
  <si>
    <t>A DEFINIR - AREA AEROPORTO VI - PALMAS</t>
  </si>
  <si>
    <t>A DEFINIR - AREA AEROPORTO VII - PALMAS</t>
  </si>
  <si>
    <t>A DEFINIR - AREA AEROPORTO VIII - PALMAS</t>
  </si>
  <si>
    <t>A DEFINIR - AREA AEROPORTO IX - PALMAS</t>
  </si>
  <si>
    <t>A DEFINIR - AREA AEROPORTO X - PALMAS</t>
  </si>
  <si>
    <t>A DEFINIR - AREA AEROPORTO XII - PALMAS</t>
  </si>
  <si>
    <t>A DEFINIR - AREA AEROPORTO XIII - PALMAS</t>
  </si>
  <si>
    <t>A DEFINIR - AREA AEROPORTO XIV - PALMAS</t>
  </si>
  <si>
    <t>A DEFINIR - AREA AEROPORTO XV - PALMAS</t>
  </si>
  <si>
    <t>A DEFINIR - AREA AEROPORTO - PALMAS</t>
  </si>
  <si>
    <t>RESIDENCIAL BURITI GARGEN PRIME - PALMAS</t>
  </si>
  <si>
    <t>RESIDENCIAL BURITI GARGEN PRIME II - PALMAS</t>
  </si>
  <si>
    <t>JARDIM CALIFORNIA - PALMAS</t>
  </si>
  <si>
    <t>LOTE PÉ DA PONTE - LUZIMANGUES</t>
  </si>
  <si>
    <t>A DEFINIR - BELG - BARREIRAS</t>
  </si>
  <si>
    <t>A DEFINIR - BARREIRAS</t>
  </si>
  <si>
    <t>LOTEAMENTO VISTA DO LAGO - FORMOSA</t>
  </si>
  <si>
    <t>PARQUE DO LAGO - FORMOSA</t>
  </si>
  <si>
    <t>RESIDENCIAL ALTO DAS BARAUNAS II - ARAPIRACA</t>
  </si>
  <si>
    <t>BURITI GARDEN PRIME - MARECHAL DEODORO</t>
  </si>
  <si>
    <t>RESIDENCIAL CIDADE JARDIM III - RIO LARGO</t>
  </si>
  <si>
    <t>RESIDENCIAL CIDADE JARDIM III - STP 2 - RIO LARGO</t>
  </si>
  <si>
    <t>RESIDENCIAL CIDADE JARDIM III - STP 3 - RIO LARGO</t>
  </si>
  <si>
    <t>RESIDENCIAL JARDIM AMERICA II - PENEDO</t>
  </si>
  <si>
    <t>RESIDENCIAL JARDIM EUROPA 2 - ALAGOINHA</t>
  </si>
  <si>
    <t>RESIDENCIAL JARDIM EUROPA - BARRA DOS COQUEIROS</t>
  </si>
  <si>
    <t>JARDIM TROPICAL - CRATO</t>
  </si>
  <si>
    <t>JARDIM TROPICAL - ITAPIPOCA</t>
  </si>
  <si>
    <t>JARDIM TROPICAL II - ITAPIPOCA</t>
  </si>
  <si>
    <t>JARDIM AMERICA II - TAUÁ</t>
  </si>
  <si>
    <t>JARDIM AMERICA III - TAUÁ</t>
  </si>
  <si>
    <t>RESIDENCIAL CIDADE JARDIM - BALSAS</t>
  </si>
  <si>
    <t>RESIDENCIAL CIDADE JARDIM II - BALSAS</t>
  </si>
  <si>
    <t>RESIDENCIAL CIDADE JARDIM III - BALSAS</t>
  </si>
  <si>
    <t>RESIDENCIAL CIDADE JARDIM II - MONTES CLAROS</t>
  </si>
  <si>
    <t>RESIDENCIAL CIDADE JARDIM III - MONTES CLAROS</t>
  </si>
  <si>
    <t>JARDIM DO VALE II - COLATINA</t>
  </si>
  <si>
    <t>JARDIM DO VALE III - COLATINA</t>
  </si>
  <si>
    <t>JARDIM DO VALE IV - COLATINA</t>
  </si>
  <si>
    <t>BURITI GARDEN PREMIUM - RIO WATER PLANET</t>
  </si>
  <si>
    <t>RESIDENCIAL CIDADE JARDIM II - DUQUE DE CAXIAS</t>
  </si>
  <si>
    <t>RESIDENCIAL CIDADE JARDIM III - DUQUE DE CAXIAS</t>
  </si>
  <si>
    <t>RESIDENCIAL JARDIM EUROPA - COND. - DUQUE DE CAXIAS</t>
  </si>
  <si>
    <t>A DEFINIR - DUQUE DE CAXIAS</t>
  </si>
  <si>
    <t>BURITI GARDEN I - ITABORAÍ</t>
  </si>
  <si>
    <t>A DENIFIR - ITABORAÍ</t>
  </si>
  <si>
    <t>RESIDENCIAL CIDADE JARDIM I - MACAE</t>
  </si>
  <si>
    <t>RESIDENCIAL CIDADE JARDIM II - MACAE</t>
  </si>
  <si>
    <t>RESIDENCIAL CIDADE JARDIM III - MACAE</t>
  </si>
  <si>
    <t>RESIDENCIAL CIDADE JARDIM - LORENA</t>
  </si>
  <si>
    <t>RESIDENCIAL CIDADE JARDIM II - LORENA</t>
  </si>
  <si>
    <t>RESIDENCIAL CIDADE JARDIM III - LORENA</t>
  </si>
  <si>
    <t>RESIDENCIAL CIDADE JARDIM IV - LORENA</t>
  </si>
  <si>
    <t>RESIDENCIAL CIDADE JARDIM V - LORENA</t>
  </si>
  <si>
    <t>RESIDENCIAL CIDADE JARDIM VI - LORENA</t>
  </si>
  <si>
    <t>JARDIM IPIRANGA I - PRESIDENTE PRUDENTE</t>
  </si>
  <si>
    <t>JARDIM IPIRANGA II - PRESIDENTE PRUDENTE</t>
  </si>
  <si>
    <t>JARDIM NOVA AMERICA I E II - PRESIDENTE PRUDENTE</t>
  </si>
  <si>
    <t>RESIDENCIAL MADRI - PRESIDENTE PRUDENTE</t>
  </si>
  <si>
    <t>ROBERTO NEGRAO I - PRESIDENTE PRUDENTE</t>
  </si>
  <si>
    <t>ROBERTO NEGRAO II - PRESIDENTE PRUDENTE</t>
  </si>
  <si>
    <t>RESIDENCIAL PARK DOS BURITIS - CAÇAPAVA</t>
  </si>
  <si>
    <t>RESIDENCIAL SÃO FRANCISCO DE AVARÉ - AVARÉ</t>
  </si>
  <si>
    <t>RESIDENCIAL SÃO FRANCISCO DE AVARÉ II - AVARÉ</t>
  </si>
  <si>
    <t>A DEFINIR - FERNANDOPOLIS</t>
  </si>
  <si>
    <t>A DEFINIR - POÇOS DE CALDAS</t>
  </si>
  <si>
    <t>A DEFINIR II - POÇOS DE CALDAS</t>
  </si>
  <si>
    <t>A DEFINIR - CABO FRIO</t>
  </si>
  <si>
    <t>RESIDENCIAL CIDADE JARDIM II - RIO BRANCO</t>
  </si>
  <si>
    <t>RESIDENCIAL CIDADE JARDIM II - STP 2 - RIO BRANCO</t>
  </si>
  <si>
    <t>RESIDENCIAL CIDADE JARDIM IV - RIO BRANCO</t>
  </si>
  <si>
    <t>RESIDENCIAL CIDADE JARDIM V - RIO BRANCO</t>
  </si>
  <si>
    <t>RESIDENCIAL CIDADE JARDIM VI - RIO BRANCO</t>
  </si>
  <si>
    <t>RESIDENCIAL CIDADE JARDIM VII - RIO BRANCO</t>
  </si>
  <si>
    <t>RESIDENCIAL CIDADE JARDIM VIII - RIO BRANCO</t>
  </si>
  <si>
    <t>RESIDENCIAL CIDADE JARDIM IX - RIO BRANCO</t>
  </si>
  <si>
    <t>RESIDENCIAL CIDADE JARDIM X - RIO BRANCO</t>
  </si>
  <si>
    <t>RESIDENCIAL CIDADE JARDIM XI - RIO BRANCO</t>
  </si>
  <si>
    <t>RESIDENCIAL CIDADE JARDIM I - CÁCERES</t>
  </si>
  <si>
    <t>RESIDENCIAL CIDADE JARDIM I - STP2 - CÁCERES</t>
  </si>
  <si>
    <t>RESIDENCIAL CIDADE JARDIM II - CÁCERES</t>
  </si>
  <si>
    <t>RESIDENCIAL CIDADE JARDIM III - CÁCERES</t>
  </si>
  <si>
    <t>RESIDENCIAL CIDADE JARDIM I - TANGARÁ DA SERRA</t>
  </si>
  <si>
    <t>RESIDENCIAL CIDADE JARDIM I - STP2 - TANGARÁ DA SERRA</t>
  </si>
  <si>
    <t>RESIDENCIAL CIDADE JARDIM II - TANGARÁ DA SERRA</t>
  </si>
  <si>
    <t>RESIDENCIAL CIDADE JARDIM III - TANGARÁ DA SERRA</t>
  </si>
  <si>
    <t>RESIDENCIAL CIDADE JARDIM IV - TANGARÁ DA SERRA</t>
  </si>
  <si>
    <t>BURITI GARDEN PRIME - VARZEA GRANDE</t>
  </si>
  <si>
    <t>BURITI GARDEN PRIME II - VARZEA GRANDE</t>
  </si>
  <si>
    <t>BURITI GARDEN PRIME III - VARZEA GRANDE</t>
  </si>
  <si>
    <t>BURITI GARDEN PREMIUM - CUIABÁ</t>
  </si>
  <si>
    <t>PARK DOS BURITIS II - CACOAL</t>
  </si>
  <si>
    <t>RESIDENCIAL JARDIM AMERICA - JI-PARANÁ</t>
  </si>
  <si>
    <t>RESIDENCIAL CIDADE JARDIM II - ROLIM DE MOURA</t>
  </si>
  <si>
    <t>RESIDENCIAL CIDADE JARDIM IIII - ROLIM DE MOURA</t>
  </si>
  <si>
    <t>CIDADE JARDIM - ETP I - BELA VISTA</t>
  </si>
  <si>
    <t>CIDADE JARDIM - ETP II - BELA VISTA</t>
  </si>
  <si>
    <t>RES. BURITI GARDEN - CONCEIÇÃO DO ARAGUAIA</t>
  </si>
  <si>
    <t>JARDIM DO CERRADO 5 - GOIÂNIA</t>
  </si>
  <si>
    <t>JARDIM DO CERRADO 6 - GOIÂNIA</t>
  </si>
  <si>
    <t>JARDIM DO CERRADO 7 - GOIÂNIA</t>
  </si>
  <si>
    <t>JARDIM DO CERRADO 8 - GOIÂNIA</t>
  </si>
  <si>
    <t>JARDIM DO CERRADO 8 II - GOIÂNIA</t>
  </si>
  <si>
    <t>JARDIM DO CERRADO 9 - GOIÂNIA</t>
  </si>
  <si>
    <t>JARDIM DO CERRADO 10 - GOIÂNIA</t>
  </si>
  <si>
    <t>JARDIM DO CERRADO 11 - GOIÂNIA</t>
  </si>
  <si>
    <t>Links</t>
  </si>
  <si>
    <t>https://earth.google.com/web/search/CIDADE+JARDIM+12+-+PARAUAPEBAS/@-2.45795692,-54.77217012,46.50042218a,6405.178905d,35y,-0h,0t,0r/data=CiwiJgokCdmVqMeMyQbAESVW3mJaMwnAGYI6tUF7jUfAIaCAQToN3EfAQgIIAToDCgEwQgIIAEoICJfn8a8FEAA</t>
  </si>
  <si>
    <t>https://earth.google.com/web/search/CIDADE+JARDIM+III+-+PARAGOMINAS/@-2.98095416,-47.3799762,134.97977097a,3030.5675351d,34.99995839y,0h,0t,0r/data=CiwiJgokCSuOdv50fyPAET9A346_gyPAGQZ87NXc6kHAIQ521gYT7UHAQgIIAToDCgEwQgIIAEoICJfn8a8FEAA?authuser=0</t>
  </si>
  <si>
    <t>https://earth.google.com/web/search/Reden%c3%a7%c3%a3o,+PA/@-8.02281704,-50.02474338,207.09019485a,9467.67478846d,35y,-0h,0t,0r/data=Cn0aTxJJCiUweDkyZTAwODAxOTFiMWU4Mzk6MHgzZDhmOGEwNDFiM2MxMGRkGS5nALkODyDAIUkmTL0TBEnAKg5SZWRlbsOnw6NvLCBQQRgCIAEiJgokCVbvBcmbxgfAEZZRXQph6wfAGYZHDZRMrkfAIcoEsIr5skfAQgIIAToDCgEwQgIIAEoICJfn8a8FEAA?authuser=0</t>
  </si>
  <si>
    <t>https://earth.google.com/web/search/RESIDENCIAL+JARDIM+IPIRANGA+II+-+XINGUARA/@-7.12104404,-49.92523395,224.47331647a,1424.00240818d,35y,-0h,0t,0r/data=CiwiJgokCUUfzO5U4h_AEV26WHYzKSDAGfKhedaB80jAITi3e0FBEEnAQgIIAToDCgEwQgIIAEoICJfn8a8FEAA?authuser=0</t>
  </si>
  <si>
    <t>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</t>
  </si>
  <si>
    <t>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</t>
  </si>
  <si>
    <t>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</t>
  </si>
  <si>
    <t>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</t>
  </si>
  <si>
    <t>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</t>
  </si>
  <si>
    <t>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</t>
  </si>
  <si>
    <t>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</t>
  </si>
  <si>
    <t>https://earth.google.com/web/search/PORANGATU/@-13.48236643,-49.14549603,382.15167639a,2164.91720392d,35y,0h,0t,0r/data=CiwiJgokCWja37IRLyTAEe8U1cKTsCTAGV6kVeFeHkjAIUSO7Fo9YUjAQgIIAToDCgEwQgIIAEoICJfn8a8FEAA?authuser=0</t>
  </si>
  <si>
    <t>https://earth.google.com/web/search/GOI%c3%82NIA/@-16.67746594,-49.42770992,858.01737984a,4789.30417081d,35y,9.31126662h,0.18897674t,360r/data=CiwiJgokCTImrsNH8yrAEajobj-t-irAGWOHbhWxkEjAIXn8jCOOlEjAQgIIAToDCgEwQgIIAEoICJfn8a8FEAA?authuser=0</t>
  </si>
  <si>
    <t>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</t>
  </si>
  <si>
    <t>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</t>
  </si>
  <si>
    <t>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</t>
  </si>
  <si>
    <t>https://earth.google.com/web/search/ROLIM+DE+MOURA/@-11.70003411,-61.7878114,251.9337313a,3182.60368671d,35y,0h,0t,0r/data=CnwaThJICiQweDkzYzg2YmYyMDQ1MWZkNDc6MHg4MjlmMWM5MmZjMTJiNGQZjYZCuo5zJ8AhCpf6HprjTsAqDlJPTElNIERFIE1PVVJBGAEgASImCiQJU-hXLybDI8ARtbsCkK3JI8AZWYZJdKGGT8Ah1B97Of-JT8BCAggBOgMKATBCAggASggIl-fxrwUQAA?authuser=0</t>
  </si>
  <si>
    <t>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</t>
  </si>
  <si>
    <t>https://earth.google.com/web/search/CACOAL/@-11.46023209,-61.46392704,192.80524441a,2677.20500742d,35y,0.00000001h,0t,0r/data=CiwiJgokCR-NyuOUryXAEUa9h2WxuCXAGViFzbpE_U7AISHjgBr7AU_AQgIIAToDCgEwQgIIAEoICJfn8a8FEAA?authuser=0</t>
  </si>
  <si>
    <t>https://earth.google.com/web/search/CUIAB%c3%81/@-15.55669308,-56.14650334,159.69800373a,2841.75984399d,35y,0h,0t,0r/data=CiwiJgokCTDbVLh45ybAEXD1A07O7ybAGaZZUBA5uU7AIdT4-d2KvU7AQgIIAToDCgEwQgIIAEoICJfn8a8FEAA?authuser=0</t>
  </si>
  <si>
    <t>https://earth.google.com/web/search/CUIAB%c3%81/@-15.61005921,-56.15084275,175.93804739a,4592.0123658d,35y,0h,0t,0r/data=CiwiJgokCTDbVLh45ybAEXD1A07O7ybAGaZZUBA5uU7AIdT4-d2KvU7AQgIIAToDCgEwQgIIAEoICJfn8a8FEAA?authuser=0</t>
  </si>
  <si>
    <t>https://earth.google.com/web/search/TANGAR%c3%81+DA+SERRA/@-14.62032689,-57.54082084,346.92096178a,5258.20888551d,35y,0h,0t,0r/data=CiwiJgokCXA9rQptMS_AEXKWStZFPy_AGehdnQKoD0zAIeamtZ71FkzAQgIIAToDCgEwQgIIAEoICJfn8a8FEAA?authuser=0</t>
  </si>
  <si>
    <t>https://earth.google.com/web/search/C%c3%81CERES/@-16.11433068,-57.66517767,145.36941085a,5953.03993857d,35y,-0h,0t,0r/data=CiwiJgokCQX_JH53NS3AETlJC9e-RS3AGdinZMrzwEzAIeq1E4h_yUzAQgIIAToDCgEwQgIIAEoICJfn8a8FEAA?authuser=0</t>
  </si>
  <si>
    <t>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</t>
  </si>
  <si>
    <t>https://earth.google.com/web/search/GUARAPUAVA/@-25.39953824,-51.52751542,1024.00734861a,2854.44336804d,35y,360h,0t,0r/data=CiwiJgokCbN0uAN0-znAEZYMuK9MojrAGTg0o7y1VEjAIWKVrBNVEknAQgIIAToDCgEwQgIIAEoICJfn8a8FEAA?authuser=0</t>
  </si>
  <si>
    <t>https://earth.google.com/web/search/Torres,+RS/@-29.39094249,-49.79542536,11.86627966a,3844.364941d,35y,0h,0t,0r/data=CiwiJgokCUqW-EB3YznAEXs_7PEYaTnAGabKp-VawEnAIVblElawxknAQgIIAToDCgEwQgIIAEoICJfn8a8FEAA?authuser=0</t>
  </si>
  <si>
    <t>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</t>
  </si>
  <si>
    <t>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</t>
  </si>
  <si>
    <t>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</t>
  </si>
  <si>
    <t>https://earth.google.com/web/search/PELOTAS/@-31.66345999,-52.34766459,33.86198261a,5500.41331546d,35y,0h,0t,0r/data=CiwiJgokCcTGFe60DEDAEbD1lg7sD0DAGcKY98kGFErAITOrTYO9G0rAQgIIAToDCgEwQgIIAEoICJfn8a8FEAA?authuser=0</t>
  </si>
  <si>
    <t>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</t>
  </si>
  <si>
    <t>https://earth.google.com/web/search/VIAM%c3%83O/@-30.06497491,-51.03875844,59.46189546a,2897.51328111d,35y,360h,0t,0r/data=CnYaSBJCCiUweDk1MTk5OGE2ZDhmMjY0NDE6MHgxNWY0MmRhYTgyYjY2ZDQwGXCFZo0wFT7AIQB4nz5dhEnAKgdWSUFNw4NPGAEgASImCiQJsTk0ZNOlP8ARLqkiuNytP8AZ9eUZULQnSsAh8JLJOEwxSsBCAggBOgMKATBCAggASggIl-fxrwUQAA?authuser=0</t>
  </si>
  <si>
    <t>https://earth.google.com/web/search/CANELA/@-29.31096028,-50.74065533,783.58216028a,4290.20961313d,35y,0h,0t,0r/data=CiwiJgokCaHXsZR7Dj7AEYnRurPGEj7AGVFhjI5xgknAIZdzDtB7h0nAQgIIAToDCgEwQgIIAEoICJfn8a8FEAA?authuser=0</t>
  </si>
  <si>
    <t>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</si>
  <si>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</si>
  <si>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</si>
  <si>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</si>
  <si>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</si>
  <si>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https://earth.google.com/web/search/CAXIAS+DO+SUL/@-29.10724565,-51.11635957,827.09427571a,2319.35937575d,35y,0h,0t,0r/data=CiwiJgokCdbUR9LrSz3AEWtE3O5JUz3AGY4iHQCDWknAISsKRq0YY0nAQgIIAToDCgEwQgIIAEoICJfn8a8FEAA?authuser=0</t>
  </si>
  <si>
    <t>https://earth.google.com/web/search/S%c3%83O+LEOPOLDO/@-29.69124438,-51.18506887,72.72392941a,2763.99436261d,35y,0h,0t,0r/data=CiwiJgokCYgGRBoKGD7AEeRabSOjGz7AGfvFjOgUgEnAIaI5Hn1OhEnAQgIIAToDCgEwQgIIAEoICJfn8a8FEAA?authuser=0</t>
  </si>
  <si>
    <t>https://earth.google.com/web/search/SANTA+CRUZ+DO+SUL/@-29.67679798,-52.44461427,171.97361515a,2440.82594259d,35y,0h,0t,0r/data=CiwiJgokCfCOoxjmrj3AEQTSMIMEsz3AGejaJMRHlUnAIb28UugYmknAQgIIAToDCgEwQgIIAEoICJfn8a8FEAA?authuser=0</t>
  </si>
  <si>
    <t>https://earth.google.com/web/search/PORTO+ALEGRE/@-30.11127632,-51.12148809,52.85283914a,2914.98585346d,35y,0.00000001h,0t,0r/data=CiwiJgokCdF8eOBcqz3AEVk4mQ0orz3AGW7M2FWxNkrAIVpN-_QgO0rAQgIIAToDCgEwQgIIAEoICJfn8a8FEAA?authuser=0</t>
  </si>
  <si>
    <t>https://earth.google.com/web/search/PORTO+ALEGRE/@-30.12584024,-51.13053681,31.39242651a,5997.00691746d,35y,0h,0t,0r/data=CiwiJgokCdF8eOBcqz3AEVk4mQ0orz3AGW7M2FWxNkrAIVpN-_QgO0rAQgIIAToDCgEwQgIIAEoICJfn8a8FEAA?authuser=0</t>
  </si>
  <si>
    <t>https://earth.google.com/web/search/PORTO+ALEGRE/@-30.15639376,-51.37950813,15.7953786a,5231.5657715d,35y,360h,0t,0r/data=CiwiJgokCdF8eOBcqz3AEVk4mQ0orz3AGW7M2FWxNkrAIVpN-_QgO0rAQgIIAToDCgEwQgIIAEoICJfn8a8FEAA?authuser=0</t>
  </si>
  <si>
    <t>https://earth.google.com/web/search/PORTO+ALEGRE/@-30.02393013,-52.88446203,56.86896845a,3471.83898874d,35y,0h,0t,0r/data=CiwiJgokCdF8eOBcqz3AEVk4mQ0orz3AGW7M2FWxNkrAIVpN-_QgO0rAQgIIAToDCgEwQgIIAEoICJfn8a8FEAA?authuser=0</t>
  </si>
  <si>
    <t>https://earth.google.com/web/search/CABO+FRIO/@-22.8250059,-42.03103576,12.7124684a,2857.57864826d,35y,0h,0t,0r/data=CiwiJgokCVC2q1CQAz7AERjRb_uvCD7AGY9__Xk0bkrAIVnsd6A3dErAQgIIAToDCgEwQgIIAEoICJfn8a8FEAA?authuser=0</t>
  </si>
  <si>
    <t>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</t>
  </si>
  <si>
    <t>https://earth.google.com/web/search/RIO+DE+JANEIRO/@-22.98862614,-43.54653162,5.6419623a,1442.52576017d,35y,0h,0t,0r/data=CiwiJgokCRTrwKfDnzbAEaD090t2ojbAGapL29TAo0XAIYIA7fu4pkXAQgIIAToDCgEwQgIIAEoICJfn8a8FEAA?authuser=0</t>
  </si>
  <si>
    <t>https://earth.google.com/web/search/PO%c3%87OS+DE+CALDAS/@-21.78752103,-46.62526154,1239.73456507a,4634.91540016d,35y,0h,0t,0r/data=Cn8aURJLCiUweDk0YzljMmMzMmU1YTE1MWI6MHg5MGM3ODc3Mzg3NDU4OWZjGcjJafQPyTXAIYDAuXXtR0fAKhBQT8OHT1MgREUgQ0FMREFTGAEgASImCiQJvqqkfAn8NsAR9cW7viP-NsAZjS2Rv8vERcAhTKeEvR3HRcBCAggBOgMKATBCAggASggIl-fxrwUQAA?authuser=0</t>
  </si>
  <si>
    <t>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</t>
  </si>
  <si>
    <t>https://earth.google.com/web/search/Avar%c3%a9,+SP/@-23.13817295,-48.93466362,759.5009067a,2026.71010604d,35y,0h,0t,0r/data=CiwiJgokCbdqOrTERTTAEdFka3GySTTAGdvcUdEVIUnAIfMq4hhXJUnAQgIIAToDCgEwQgIIAEoICJfn8a8FEAA?authuser=0</t>
  </si>
  <si>
    <t>https://earth.google.com/web/search/CA%c3%87APAVA/@-23.07539289,-45.73464968,614.24652742a,2481.52766127d,35y,0h,0t,0r/data=CiwiJgokCcNcRG6evShAEQTyLp3d_zzAGZ9UYKQ7AyBAIVqsCoydTFrAQgIIAToDCgEwQgIIAEoICJfn8a8FEAA?authuser=0</t>
  </si>
  <si>
    <t>https://earth.google.com/web/search/PRESIDENTE+PRUDENTE/@-22.14871306,-51.33335737,421.19686992a,3065.92913489d,35y,0h,0t,0r/data=CiwiJgokCQO2VLUNETfAEV-ipG2MFTfAGcVo9EuN20bAIW53qAeE4EbAQgIIAToDCgEwQgIIAEoICJfn8a8FEAA?authuser=0</t>
  </si>
  <si>
    <t>https://earth.google.com/web/search/PRESIDENTE+PRUDENTE/@-22.14116354,-51.35308002,408.23858461a,3078.88745257d,35y,0h,0t,0r/data=CiwiJgokCQO2VLUNETfAEV-ipG2MFTfAGcVo9EuN20bAIW53qAeE4EbAQgIIAToDCgEwQgIIAEoICJfn8a8FEAA?authuser=0</t>
  </si>
  <si>
    <t>https://earth.google.com/web/search/PRESIDENTE+PRUDENTE/@-22.06712728,-51.37175302,456.77615334a,2330.45847911d,35y,0h,0t,0r/data=CiwiJgokCQO2VLUNETfAEV-ipG2MFTfAGcVo9EuN20bAIW53qAeE4EbAQgIIAToDCgEwQgIIAEoICJfn8a8FEAA?authuser=0</t>
  </si>
  <si>
    <t>https://earth.google.com/web/search/PRESIDENTE+PRUDENTE/@-22.07352232,-51.4013622,413.34837945a,3248.43771077d,35y,0.00000083h,0t,0r/data=CiwiJgokCQO2VLUNETfAEV-ipG2MFTfAGcVo9EuN20bAIW53qAeE4EbAQgIIAToDCgEwQgIIAEoICJfn8a8FEAA?authuser=0</t>
  </si>
  <si>
    <t>https://earth.google.com/web/search/LORENA/@-22.76355759,-45.11165622,554.79907101a,2424.9160967d,35y,0h,0t,0r/data=CiwiJgokCdDYYcMpEDbAEb-si-d6FTbAGdP8OMJ1sEnAIeq0yPtJtknAQgIIAToDCgEwQgIIAEoICJfn8a8FEAA?authuser=0</t>
  </si>
  <si>
    <t>https://earth.google.com/web/search/ITAPETININGA/@-23.60041566,-48.11054145,648.36741354a,7499.34108211d,35y,0h,0t,0r/data=CiwiJgokCSTz4KZOwTbAEWUEDjqixTbAGTHHXZ3oi0bAId3jN-OskEbAQgIIAToDCgEwQgIIAEoICJfn8a8FEAA?authuser=0</t>
  </si>
  <si>
    <t>https://earth.google.com/web/search/ITAPETININGA/@-23.62618263,-48.09089394,643.86218986a,3111.8044646d,35y,0h,0t,0r/data=CiwiJgokCSTz4KZOwTbAEWUEDjqixTbAGTHHXZ3oi0bAId3jN-OskEbAQgIIAToDCgEwQgIIAEoICJfn8a8FEAA?authuser=0</t>
  </si>
  <si>
    <t>https://earth.google.com/web/search/ARRAIAL+DO+CABO/@-22.93536918,-42.19797612,2.57990512a,8028.28875861d,35y,0h,0t,0r/data=CnwaThJICiMweDk3MTk3YmEwMTFkM2E5OjB4M2M0YTJiN2IxNGUwMDMwORnXiSarffc2wCH54BAFjgNFwCoPQVJSQUlBTCBETyBDQUJPGAEgASImCiQJ3jIbZ5OdN8AR8LcycgejN8AZIoh5YJwISMAhtPiWdKgOSMBCAggBOgMKATBCAggASggIl-fxrwUQAA?authuser=0</t>
  </si>
  <si>
    <t>https://earth.google.com/web/search/MACAE/@-22.36624118,-41.8234272,34.24557963a,6150.26313789d,35y,0h,0t,0r/data=CiwiJgokCcmdsN-e6TbAEVdlXJdI9TbAGUMWAjLoEkXAIbglujnGH0XAQgIIAToDCgEwQgIIAEoICJfn8a8FEAA?authuser=0</t>
  </si>
  <si>
    <t>https://earth.google.com/web/search/ITABORA%c3%8d/@-22.7705662,-42.90251485,16.01615323a,2212.94452737d,35y,0h,0t,0r/data=CiwiJgokCWeuUiREWTbAEf3J2D8_YjbAGShqrBV35ETAIYuIHwFV7kTAQgIIAToDCgEwQgIIAEoICJfn8a8FEAA?authuser=0</t>
  </si>
  <si>
    <t>https://earth.google.com/web/search/Itatiaia,+RJ/@-22.45992895,-44.52068364,423.46245411a,8948.36825161d,35y,0h,0t,0r/data=CiwiJgokCZ6WBhqISi_AEVBldJnBEzjAGf8jZD_WyULAIQ_8zVvgN0zAQgIIAToDCgEwQgIIAEoICJfn8a8FEAA?authuser=0</t>
  </si>
  <si>
    <t>https://earth.google.com/web/search/Duque+de+Caxias,+RJ/@-22.62573879,-43.25838279,18.39588858a,1961.37171176d,35y,0h,0t,0r/data=CiwiJgokCUvDRSzvbjbAEZpP4J6LfDbAGco2nMkqO0bAIdAPxNEhSkbAQgIIAToDCgEwQgIIAEoICJfn8a8FEAA?authuser=0</t>
  </si>
  <si>
    <t>https://earth.google.com/web/search/Duque+de+Caxias,+RJ/@-22.66541941,-43.35607799,4.11315555a,678.00629462d,35y,-0h,0t,0r/data=CiwiJgokCUvDRSzvbjbAEZpP4J6LfDbAGco2nMkqO0bAIdAPxNEhSkbAQgIIAToDCgEwQgIIAEoICJfn8a8FEAA?authuser=0</t>
  </si>
  <si>
    <t>https://earth.google.com/web/search/COLATINA/@-19.52647784,-40.60231088,138.19641271a,3370.80950192d,35y,360h,0t,0r/data=CiwiJgokCW0IAtKljDbAEcH4TEmVtzbAGTR6r34gk0XAIZ1xJ4dpwkXAQgIIAToDCgEwQgIIAEoICJfn8a8FEAA?authuser=0</t>
  </si>
  <si>
    <t>https://earth.google.com/web/search/Rio+Water+Planet+-+Vargem+Grande,+Rio+de+Janeiro+-+RJ/@-22.97932476,-43.48761622,7.82165637a,1689.89378841d,35y,0h,0t,0r/data=CiwiJgokCTgPgsbnOzDAEf3Z-ywSUjbAGak7SsebOEDAIc0sY3wO7EbAQgIIAToDCgEwQgIIAEoICJfn8a8FEAA?authuser=0</t>
  </si>
  <si>
    <t>https://earth.google.com/web/search/UBERABA/@-19.72044234,-47.90939623,805.08281673a,3321.08224063d,35y,0h,0t,0r/data=CiwiJgokCVPME395-TbAEeHVZYPw-zbAGd2RiiIOvUXAIT6JLXLGv0XAQgIIAToDCgEwQgIIAEoICJfn8a8FEAA?authuser=0</t>
  </si>
  <si>
    <t>https://earth.google.com/web/search/MONTES+CLAROS/@-16.78340211,-43.85914746,708.18079241a,4857.74891966d,35y,0h,0t,0r/data=CiwiJgokCaYkZ-ZvtTPAEWpwuK9tuzPAGWYZIm4r8UfAIR546sKi90fAQgIIAToDCgEwQgIIAEoICJfn8a8FEAA?authuser=0</t>
  </si>
  <si>
    <t>https://earth.google.com/web/search/BALSAS/@-7.55676262,-46.08364445,276.35723714a,5135.12989945d,35y,0h,0t,0r/data=CiwiJgokCeJxBz6CxDDAEQlwGFeXzDDAGfey9riu6UXAIWSXkF1C8kXAQgIIAToDCgEwQgIIAEoICJfn8a8FEAA?authuser=0</t>
  </si>
  <si>
    <t>https://earth.google.com/web/search/TAU%c3%81/@-5.97683983,-40.30366275,407.4430109a,2966.57752085d,35y,0h,0t,0r/data=CiwiJgokCVwuodN7uSdAEajZ7_kEaz3AGcctYEv-xi1AIcrxv7LiwVjAQgIIAToDCgEwQgIIAEoICJfn8a8FEAA?authuser=0</t>
  </si>
  <si>
    <t>https://earth.google.com/web/search/ITAPIPOCA/@-3.48318447,-39.60453858,85.75014124a,4591.68380015d,35y,0h,0t,0r/data=CiwiJgokCSj18Ul83hfAEYrTwO0U8hfAGYnj-uRdJETAIcMsoPJeKUTAQgIIAToDCgEwQgIIAEoICJfn8a8FEAA?authuser=0</t>
  </si>
  <si>
    <t>https://earth.google.com/web/search/CRATO/@-7.23451766,-39.35968774,395.14410239a,4808.57124561d,35y,0h,0t,0r/data=CiwiJgokCREenKRkwgvAEaRMcJe6-AvAGbMRrrPsyUPAIf7hsFbW0EPAQgIIAToDCgEwQgIIAEoICJfn8a8FEAA?authuser=0</t>
  </si>
  <si>
    <t>https://earth.google.com/web/search/BARRA+DOS+COQUEIROS/@-10.86709266,-36.98473154,9.11625276a,6838.59037115d,35y,0h,0t,0r/data=CiwiJgokCez0LUwI4RzAEc6AbPlB_xzAGXUWKXAsqkPAIYL6q2XpsUPAQgIIAToDCgEwQgIIAEoICJfn8a8FEAA?authuser=0</t>
  </si>
  <si>
    <t>https://earth.google.com/web/search/BARREIRAS/@-12.12902491,-44.94390721,473.95179666a,4444.42186318d,35y,360h,0t,0r/data=CiwiJgokCbyBSCYESh5AEYWkuzkFYEDAGVnoii3lCChAIf8sz7P4HlvAQgIIAToDCgEwQgIIAEoICJfn8a8FEAA?authuser=0</t>
  </si>
  <si>
    <t>https://earth.google.com/web/search/FORMOSA/@-15.58172122,-47.32794355,897.72742465a,4704.42149765d,35y,0.00000085h,0t,0r/data=CiwiJgokCWIPaQHJuSfAEafTOxpW8SjAGfzlyTCsKUbAIT9JW4C_y0bAQgIIAToDCgEwQgIIAEoICJfn8a8FEAA?authuser=0</t>
  </si>
  <si>
    <t>https://earth.google.com/web/search/ARAPIRACA/@-9.74896182,-36.69647245,245.55478327a,4738.09539736d,35y,0h,0t,0r/data=CiwiJgokCclCL3e0IS_AESFNk5j5MS_AGZRIeMyvpUfAIcPoSk9ErkfAQgIIAToDCgEwQgIIAEoICJfn8a8FEAA?authuser=0</t>
  </si>
  <si>
    <t>https://earth.google.com/web/search/MARECHAL+DEODORO/@-9.75268373,-35.84765408,4.2701174a,3214.95034437d,35y,0h,0t,0r/data=CiwiJgokCWeqOyo7eCPAETh3cFu0hiPAGVxp7S1rVULAIVnrvdbgXELAQgIIAToDCgEwQgIIAEoICJfn8a8FEAA?authuser=0</t>
  </si>
  <si>
    <t>https://earth.google.com/web/search/RIO+LARGO/@-9.52900304,-35.81653115,112.35298923a,4987.59724811d,35y,0.00000121h,0t,0r/data=CiwiJgokCbfopBmzfCPAEeMgyVIMhiPAGTrKKDMX6kHAIcF9G6ro7kHAQgIIAToDCgEwQgIIAEoICJfn8a8FEAA?authuser=0</t>
  </si>
  <si>
    <t>https://earth.google.com/web/search/Penedo,+AL/@-10.25735808,-36.57115779,78.36658822a,3198.69005319d,35y,0h,0t,0r/data=CiwiJgokCSEY7vitZSLAEUE54MEYuCPAGb-vF-6sm0HAIR2ubXgmSkLAQgIIAToDCgEwQgIIAEoICJfn8a8FEAA?authuser=0</t>
  </si>
  <si>
    <t>https://earth.google.com/web/search/RESIDENCIAL+JARDIM+EUROPA+2+-+ALAGOINHA/@-12.16901753,-38.4079717,117.33325024a,3592.41516492d,35y,0h,0t,0r/data=CiwiJgokCVvsaFFQZxrAESI5vVrxVB7AGWgJCTaDWkHAIWhUtp4sXELAQgIIAToDCgEwQgIIAEoICJfn8a8FEAA?authuser=0</t>
  </si>
  <si>
    <t>https://earth.google.com/web/search/A+DEFINIR+-+ELDORADO+DO+CARAJAS/@-6.10130618,-49.38645125,132.08489807a,3593.41495385d,35y,0h,0t,0r/data=CiwiJgokCW1sITprhAPAEVxoH91ezwPAGZD9qRETXkvAIZjXKt-ZZ0vAQgIIAToDCgEwQgIIAEoICJfn8a8FEAA?authuser=0</t>
  </si>
  <si>
    <t>https://earth.google.com/web/search/CIDADE+JARDIM+12+-+PARAUAPEBAS/@-6.04487592,-49.83564552,181.81336445a,9406.37838209d,35y,0h,0t,0r/data=CiwiJgokCS03B0TTPhXAEXKT3p9G5BrAGSZGC1wr6UfAISLEcDjXWknAQgIIAToDCgEwQgIIAEoICJfn8a8FEAA?authuser=0</t>
  </si>
  <si>
    <t>DEFINIR - ÁREA SERRARIA CUMARU - REDENÇÃO</t>
  </si>
  <si>
    <t>A DEFINIR - ELDORADO DO CARAJAS</t>
  </si>
  <si>
    <t>A DEFINIR (CELMA) - LUZIMANGUES</t>
  </si>
  <si>
    <t>A DEFINIR (HERMES) - LUZIMANGUES</t>
  </si>
  <si>
    <t>RESIDENCIAL BURITI GARGEN (SÃO CAMILO) - PALMAS</t>
  </si>
  <si>
    <t>RESIDENCIAL BURITI GARGEN (SÃO CAMILO) II - PALMAS</t>
  </si>
  <si>
    <t>CIDADE JARDIM III - PARAGOMINAS</t>
  </si>
  <si>
    <t>CIDADE JARDIM IV - PARAGOMINAS</t>
  </si>
  <si>
    <t>RESIDENCIAL CIDADE JARDIM III - ARIQUEMES</t>
  </si>
  <si>
    <t>A DEFINIR - XEREM</t>
  </si>
  <si>
    <t>ID</t>
  </si>
  <si>
    <t>MAP001</t>
  </si>
  <si>
    <t>MAP006</t>
  </si>
  <si>
    <t>MAP007</t>
  </si>
  <si>
    <t>MAP008</t>
  </si>
  <si>
    <t>MAP009</t>
  </si>
  <si>
    <t>MAP010</t>
  </si>
  <si>
    <t>MAP011</t>
  </si>
  <si>
    <t>MAP002</t>
  </si>
  <si>
    <t>MAP003</t>
  </si>
  <si>
    <t>MAP004</t>
  </si>
  <si>
    <t>MAP005</t>
  </si>
  <si>
    <t>MAP012</t>
  </si>
  <si>
    <t>MAP013</t>
  </si>
  <si>
    <t>MAP020</t>
  </si>
  <si>
    <t>MAP021</t>
  </si>
  <si>
    <t>MAP022</t>
  </si>
  <si>
    <t>MAP023</t>
  </si>
  <si>
    <t>MAP026</t>
  </si>
  <si>
    <t>MAP024</t>
  </si>
  <si>
    <t>MAP025</t>
  </si>
  <si>
    <t>MAP028</t>
  </si>
  <si>
    <t>MAP030</t>
  </si>
  <si>
    <t>MAP029</t>
  </si>
  <si>
    <t>MAP031</t>
  </si>
  <si>
    <t>MAP032</t>
  </si>
  <si>
    <t>MAP033</t>
  </si>
  <si>
    <t>MAP034</t>
  </si>
  <si>
    <t>MAP035</t>
  </si>
  <si>
    <t>MAP036</t>
  </si>
  <si>
    <t>MAP037</t>
  </si>
  <si>
    <t>MAP038</t>
  </si>
  <si>
    <t>MAP039</t>
  </si>
  <si>
    <t>MAP040</t>
  </si>
  <si>
    <t>MAP041</t>
  </si>
  <si>
    <t>MAP042</t>
  </si>
  <si>
    <t>MAP043</t>
  </si>
  <si>
    <t>MAP044</t>
  </si>
  <si>
    <t>MAP045</t>
  </si>
  <si>
    <t>MAP046</t>
  </si>
  <si>
    <t>MAP047</t>
  </si>
  <si>
    <t>MAP048</t>
  </si>
  <si>
    <t>MAP049</t>
  </si>
  <si>
    <t>MAP051</t>
  </si>
  <si>
    <t>MAP052</t>
  </si>
  <si>
    <t>MAP053</t>
  </si>
  <si>
    <t>MAP055</t>
  </si>
  <si>
    <t>MAP054</t>
  </si>
  <si>
    <t>MAP056</t>
  </si>
  <si>
    <t>MAP057</t>
  </si>
  <si>
    <t>MAP058</t>
  </si>
  <si>
    <t>MAP059</t>
  </si>
  <si>
    <t>MAP060</t>
  </si>
  <si>
    <t>MAP061</t>
  </si>
  <si>
    <t>MAP062</t>
  </si>
  <si>
    <t>MAP063</t>
  </si>
  <si>
    <t>MAP064</t>
  </si>
  <si>
    <t>MAP065</t>
  </si>
  <si>
    <t>MAP066</t>
  </si>
  <si>
    <t>MAP067</t>
  </si>
  <si>
    <t>MAP068</t>
  </si>
  <si>
    <t>MAP069</t>
  </si>
  <si>
    <t>MAP070</t>
  </si>
  <si>
    <t>MAP071</t>
  </si>
  <si>
    <t>MAP072</t>
  </si>
  <si>
    <t>MAP073</t>
  </si>
  <si>
    <t>MAP074</t>
  </si>
  <si>
    <t>MAP075</t>
  </si>
  <si>
    <t>MAP076</t>
  </si>
  <si>
    <t>MAP077</t>
  </si>
  <si>
    <t>MAP078</t>
  </si>
  <si>
    <t>MAP079</t>
  </si>
  <si>
    <t>MAP082</t>
  </si>
  <si>
    <t>MAP084</t>
  </si>
  <si>
    <t>MAP086</t>
  </si>
  <si>
    <t>MAP087</t>
  </si>
  <si>
    <t>MAP088</t>
  </si>
  <si>
    <t>MAP089</t>
  </si>
  <si>
    <t>MAP090</t>
  </si>
  <si>
    <t>MAP091</t>
  </si>
  <si>
    <t>MAP092</t>
  </si>
  <si>
    <t>MAP093</t>
  </si>
  <si>
    <t>MAP094</t>
  </si>
  <si>
    <t>MAP095</t>
  </si>
  <si>
    <t>MAP096</t>
  </si>
  <si>
    <t>MAP097</t>
  </si>
  <si>
    <t>MAP098</t>
  </si>
  <si>
    <t>MAP099</t>
  </si>
  <si>
    <t>MAP100</t>
  </si>
  <si>
    <t>MAP101</t>
  </si>
  <si>
    <t>MAP102</t>
  </si>
  <si>
    <t>MAP103</t>
  </si>
  <si>
    <t>MAP104</t>
  </si>
  <si>
    <t>MAP105</t>
  </si>
  <si>
    <t>MAP106</t>
  </si>
  <si>
    <t>MAP107</t>
  </si>
  <si>
    <t>MAP108</t>
  </si>
  <si>
    <t>MAP109</t>
  </si>
  <si>
    <t>MAP110</t>
  </si>
  <si>
    <t>MAP111</t>
  </si>
  <si>
    <t>MAP112</t>
  </si>
  <si>
    <t>MAP113</t>
  </si>
  <si>
    <t>MAP114</t>
  </si>
  <si>
    <t>MAP115</t>
  </si>
  <si>
    <t>MAP116</t>
  </si>
  <si>
    <t>MAP117</t>
  </si>
  <si>
    <t>MAP118</t>
  </si>
  <si>
    <t>MAP119</t>
  </si>
  <si>
    <t>MAP120</t>
  </si>
  <si>
    <t>MAP121</t>
  </si>
  <si>
    <t>MAP122</t>
  </si>
  <si>
    <t>MAP027</t>
  </si>
  <si>
    <t>MAP050</t>
  </si>
  <si>
    <t>MAP081</t>
  </si>
  <si>
    <t>MAP080</t>
  </si>
  <si>
    <t>Código Modelo</t>
  </si>
  <si>
    <t>Margem</t>
  </si>
  <si>
    <t>Valor m2 Obra</t>
  </si>
  <si>
    <t>Valor m2 Venda</t>
  </si>
  <si>
    <t>Area Total m2</t>
  </si>
  <si>
    <t>Valor médio por terreno</t>
  </si>
  <si>
    <t>Custo médio por terreno</t>
  </si>
  <si>
    <t>Empresa UAU</t>
  </si>
  <si>
    <t>Obra UAU</t>
  </si>
  <si>
    <t># Workflow</t>
  </si>
  <si>
    <t>RESIDENCIAL CIDADE JARDIM - SUBETAPA2 - BALSAS</t>
  </si>
  <si>
    <t>RESIDENCIAL CIDADE JARDIM I - STP1</t>
  </si>
  <si>
    <t># UAU LAND-BANK</t>
  </si>
  <si>
    <t>REVER PROJETOS</t>
  </si>
  <si>
    <t>% Paga obra</t>
  </si>
  <si>
    <t>RESIDENCIAL PAINEIRAS</t>
  </si>
  <si>
    <t>PORTO VELHO</t>
  </si>
  <si>
    <t>RESIDENCIAL PARQUE JARDIM</t>
  </si>
  <si>
    <t>SPE BTMV EMPREENDIMENTOS IMOBILIARIOS LTDA</t>
  </si>
  <si>
    <t>NOVO GAMA</t>
  </si>
  <si>
    <t>CENTRO-OESTE II</t>
  </si>
  <si>
    <t>Projeto Feito</t>
  </si>
  <si>
    <t>CHAPADA DOS GUIMARÃES-LAGO DO MANSO</t>
  </si>
  <si>
    <t>CHAPADA DOS GUIMARÃES</t>
  </si>
  <si>
    <t>ZEZO MALOUF</t>
  </si>
  <si>
    <t>MAP123</t>
  </si>
  <si>
    <t>MAP124</t>
  </si>
  <si>
    <t>MAP125</t>
  </si>
  <si>
    <t>MAP126</t>
  </si>
  <si>
    <t>MAP127</t>
  </si>
  <si>
    <t>MAP130</t>
  </si>
  <si>
    <t>MAP131</t>
  </si>
  <si>
    <t>MAP132</t>
  </si>
  <si>
    <t>ANAMARIA SANTOS GUIMARÃES</t>
  </si>
  <si>
    <t>CALDAS NOVAS</t>
  </si>
  <si>
    <t>MAP133</t>
  </si>
  <si>
    <t>BELA VISTA DE GOIÁS</t>
  </si>
  <si>
    <t>VARGEM GRANDE</t>
  </si>
  <si>
    <t>UF</t>
  </si>
  <si>
    <t>PA</t>
  </si>
  <si>
    <t>TO</t>
  </si>
  <si>
    <t>BA</t>
  </si>
  <si>
    <t>AL</t>
  </si>
  <si>
    <t>CE</t>
  </si>
  <si>
    <t>MG</t>
  </si>
  <si>
    <t>ES</t>
  </si>
  <si>
    <t>RJ</t>
  </si>
  <si>
    <t>RS</t>
  </si>
  <si>
    <t>AC</t>
  </si>
  <si>
    <t>MT</t>
  </si>
  <si>
    <t>RO</t>
  </si>
  <si>
    <t>GO</t>
  </si>
  <si>
    <t>MA</t>
  </si>
  <si>
    <t>SE</t>
  </si>
  <si>
    <t>ITATIAIA</t>
  </si>
  <si>
    <t>SP</t>
  </si>
  <si>
    <t>ITAPETININGA</t>
  </si>
  <si>
    <t>PR</t>
  </si>
  <si>
    <t>10A - RIO GRANDE - AQUARIO/IBOTY</t>
  </si>
  <si>
    <t>10B - RIO GRANDE - AQUARIO/IBOTY</t>
  </si>
  <si>
    <t>15 - VITORINO - 64HA</t>
  </si>
  <si>
    <t xml:space="preserve">15 - VITORINO - 64HA II </t>
  </si>
  <si>
    <t>11 - ALVORADA</t>
  </si>
  <si>
    <t>13 - TORRES</t>
  </si>
  <si>
    <t>1A - CACHOEIRA DO SUL</t>
  </si>
  <si>
    <t>1A - CACHOEIRA (COMPRA 23,21HA)</t>
  </si>
  <si>
    <t>1B - CACHOEIRA DO SUL</t>
  </si>
  <si>
    <t>1B - CACHOEIRA (COMPRA 23,21HA)</t>
  </si>
  <si>
    <t>2B - GUIAÍBA</t>
  </si>
  <si>
    <t>2C - GUIAÍBA</t>
  </si>
  <si>
    <t>2D - GUIAÍBA</t>
  </si>
  <si>
    <t>2D - GUIAÍBA II</t>
  </si>
  <si>
    <t>2D - GUIAÍBA III</t>
  </si>
  <si>
    <t>3AB - POA CIDADE NOVA/ ARILDO</t>
  </si>
  <si>
    <t>3AC - POA CIDADE NOVA/ ARILDO</t>
  </si>
  <si>
    <t>7 - CANELA I</t>
  </si>
  <si>
    <t>7 - CANELA II</t>
  </si>
  <si>
    <t>7 - CANELA III</t>
  </si>
  <si>
    <t>7 - CANELA IV</t>
  </si>
  <si>
    <t>4A - SANTA CRUZ DO SUL</t>
  </si>
  <si>
    <t>3AD - POA C. NOVA/ARILDO (COMPRA 24HA)</t>
  </si>
  <si>
    <t>3B - POA CIDADE NOVA/FML</t>
  </si>
  <si>
    <t>6F - CAXIAS DO SUL - FAMÍLIA STEDILE</t>
  </si>
  <si>
    <t>6E - CX. SUL - SIVIERO / PEDROTTI</t>
  </si>
  <si>
    <t>6D - CX. SUL - SIVIERO / ZANANDREA</t>
  </si>
  <si>
    <t>6C - CX. SUL - SIVIERO / VALE DAS COLINAS</t>
  </si>
  <si>
    <t>6B - CX. SUL - SIVIERO / CAMINHOS DO SOL</t>
  </si>
  <si>
    <t>6A - CAXIAS DO SUL EURO BR</t>
  </si>
  <si>
    <t>5B -SÃO LEOPOLDO - FECHADO 1ºFASE</t>
  </si>
  <si>
    <t>5A -SÃO LEOPOLDO - ABERTO 1ºFASE</t>
  </si>
  <si>
    <t>3DC - POA/CALHA DE PEDRA III</t>
  </si>
  <si>
    <t>3DB - POA/CALHA DE PEDRA II</t>
  </si>
  <si>
    <t>3DA - POA/CALHA DE PEDRA I</t>
  </si>
  <si>
    <t>8A - VIAMÃO - MARCELO GAMBOGI</t>
  </si>
  <si>
    <t>8B - VIAMÃO - SURREAX/MONTAINE</t>
  </si>
  <si>
    <t>8C - VIAMÃO - VIANÓPOLIS</t>
  </si>
  <si>
    <t>9A - PELOTAS - RESIDENCIAL RCL</t>
  </si>
  <si>
    <t>9B - PELOTAS - INDUSTRIAL RCL</t>
  </si>
  <si>
    <t>10C - RIO GRANDE - AUGUSTO OTERO</t>
  </si>
  <si>
    <t>RESIDENCIAL CIDADE JARDIM I - ITAPETININGA</t>
  </si>
  <si>
    <t>RESIDENCIAL CIDADE JARDIM II - ITAPETININGA</t>
  </si>
  <si>
    <t>A DEFINIR I - ITAPETININGA</t>
  </si>
  <si>
    <t>A DEFINIR II - ITAPETININGA</t>
  </si>
  <si>
    <t>A DEFINIR III - ITAPETININGA</t>
  </si>
  <si>
    <t>A DEFINIR - AREA AEROPORTO XI - PALMAS</t>
  </si>
  <si>
    <t>RESIDENCIAL ACSV (ÁREA DO PASTOR) - PALMAS</t>
  </si>
  <si>
    <t>A DEFINIR IV - ITAPETININGA</t>
  </si>
  <si>
    <t>A DEFINIR V - ITAPETININGA</t>
  </si>
  <si>
    <t>A DEFINIR VI - ITAPETININGA</t>
  </si>
  <si>
    <t>A DEFINIR VII - ITAPETININGA</t>
  </si>
  <si>
    <t>A DEFINIR I - MONTES CLAROS</t>
  </si>
  <si>
    <t>RESIDENCIAL CIDADE JARDIM - ITATIAIA</t>
  </si>
  <si>
    <t>RESIDENCIAL CIDADE JARDIM - INDUSTRIAL - ITATIAIA</t>
  </si>
  <si>
    <t>RESIDENCIAL CIDADE JARDIM II - ITATIAIA</t>
  </si>
  <si>
    <t>RESIDENCIAL CIDADE JARDIM III - ITATIAIA</t>
  </si>
  <si>
    <t>RESIDENCIAL CIDADE JARDIM IV - ITATIAIA</t>
  </si>
  <si>
    <t>A DEFINIR I - ARRAIAL DO CABO</t>
  </si>
  <si>
    <t>A DEFINIR II - ARRAIAL DO CABO</t>
  </si>
  <si>
    <t>A DEFINIR I - MACAE</t>
  </si>
  <si>
    <t>A DEFINIR II - MACAE</t>
  </si>
  <si>
    <t>CIDADE JARDIM 12 - PARAUAPEBAS</t>
  </si>
  <si>
    <t>CIDADE JARDIM 13 - PARAUAPEBAS</t>
  </si>
  <si>
    <t>CIDADE JARDIM 14 - PARAUAPEBAS</t>
  </si>
  <si>
    <t>CIDADE JARDIM 15 - PARAUAPEBAS</t>
  </si>
  <si>
    <t>CIDADE JARDIM 16 - PARAUAPEBAS</t>
  </si>
  <si>
    <t>CIDADE JARDIM 17 - PARAUAPEBAS</t>
  </si>
  <si>
    <t>RESIDENCIAL JARDIM AMERICA II - PORANGATU</t>
  </si>
  <si>
    <t>10A - RIO GRANDE - AQUARIO/IBOTY - RIO GRANDE DO SUL</t>
  </si>
  <si>
    <t>A DEFINIR - GUARATIBA - RIO DE JANEIRO</t>
  </si>
  <si>
    <t>10B - RIO GRANDE - AQUARIO/IBOTY - RIO GRANDE DO SUL</t>
  </si>
  <si>
    <t>1A - CACHOEIRA DO SUL - CACHOEIRA DO SUL</t>
  </si>
  <si>
    <t>1A - CACHOEIRA (COMPRA 23,21HA) - CACHOEIRA DO SUL</t>
  </si>
  <si>
    <t>1B - CACHOEIRA DO SUL - CACHOEIRA DO SUL</t>
  </si>
  <si>
    <t>1B - CACHOEIRA (COMPRA 23,21HA) - CACHOEIRA DO SUL</t>
  </si>
  <si>
    <t>2B - GUAÍBA - GUAÍBA</t>
  </si>
  <si>
    <t>2C - GUAÍBA - GUAÍBA</t>
  </si>
  <si>
    <t>2D - GUAÍBA - GUAÍBA</t>
  </si>
  <si>
    <t>2D - GUAÍBA II - GUAÍBA</t>
  </si>
  <si>
    <t>2D - GUAÍBA III - GUAÍBA</t>
  </si>
  <si>
    <t>3AB - POA CIDADE NOVA /ARILDO - PORTO ALEGRE</t>
  </si>
  <si>
    <t>3AC - POA CIDADE NOVA /ARILDO - PORTO ALEGRE</t>
  </si>
  <si>
    <t>3AD - POA C. NOVA/ARILDO (COMPRA 24HA) - PORTO ALEGRE</t>
  </si>
  <si>
    <t>3B - POA CIDADE NOVA/FML - PORTO ALEGRE</t>
  </si>
  <si>
    <t>3C - POA C. NOVA/ DR.MARCO AURÉLIO - PORTO ALEGRE</t>
  </si>
  <si>
    <t>3DA - POA/CALHA DE PEDRA I - PORTO ALEGRE</t>
  </si>
  <si>
    <t>3DB - POA/CALHA DE PEDRA II - PORTO ALEGRE</t>
  </si>
  <si>
    <t>3DC - POA/CALHA DE PEDRA III - PORTO ALEGRE</t>
  </si>
  <si>
    <t>4A - SANTA CRUZ DO SUL - SANTA CRUZ DO SUL</t>
  </si>
  <si>
    <t>5A - SÃO LEOPOLDO - ABERTO 1ºFASE - SÃO LEOPOLDO</t>
  </si>
  <si>
    <t>5B - SÃO LEOPOLDO - FECHADO 1ºFASE - SÃO LEOPOLDO</t>
  </si>
  <si>
    <t>6A - CAXIAS DO SUL EURO BR - CAXIAS DO SUL</t>
  </si>
  <si>
    <t>6B - CX. SUL - SIVIERO / CAMINHOS DO SOL - CAXIAS DO SUL</t>
  </si>
  <si>
    <t>6C - CX. SUL - SIVIERO / VALE DAS COLINAS - CAXIAS DO SUL</t>
  </si>
  <si>
    <t>6D - CX. SUL - SIVIERO / ZANANDREA - CAXIAS DO SUL</t>
  </si>
  <si>
    <t>6E - CX. SUL - SIVIERO / PEDROTTI - CAXIAS DO SUL</t>
  </si>
  <si>
    <t>6F - CAXIAS DO SUL - FAMÍLIA STEDILE - CAXIAS DO SUL</t>
  </si>
  <si>
    <t>7 - CANELA I - CANELA</t>
  </si>
  <si>
    <t>7 - CANELA II - CANELA</t>
  </si>
  <si>
    <t>7 - CANELA III - CANELA</t>
  </si>
  <si>
    <t>7 - CANELA IV - CANELA</t>
  </si>
  <si>
    <t>8A - VIAMÃO - MARCELO GAMBOGI - VIAMÃO</t>
  </si>
  <si>
    <t>8B - VIAMÃO - SURREAX/MONTAINE - VIAMÃO</t>
  </si>
  <si>
    <t>8C - VIAMÃO - VIANÓPOLIS - VIAMÃO</t>
  </si>
  <si>
    <t>9A - PELOTAS - RESIDENCIAL RCL - PELOTAS</t>
  </si>
  <si>
    <t>9B - PELOTAS - INDUSTRIAL RCL - PELOTAS</t>
  </si>
  <si>
    <t>10C - RIO GRANDE - AUGUSTO OTERO - RIO GRANDE DO SUL</t>
  </si>
  <si>
    <t>CHACARA PARAISO - UBERABA</t>
  </si>
  <si>
    <t>11 - ALVORADA - ALVORADA</t>
  </si>
  <si>
    <t>12 - SAPIRANGA - SAPIRANGA</t>
  </si>
  <si>
    <t>13 - TORRES - TORRES</t>
  </si>
  <si>
    <t>14A - GUARAPUAVA - 41HA (ELDORADO I) - GUARAPUAVA</t>
  </si>
  <si>
    <t>14B - GUARAPUAVA - 24HA (ELDORADO II) - GUARAPUAVA</t>
  </si>
  <si>
    <t>15 - VITORINO - 64HA - VITORINO</t>
  </si>
  <si>
    <t>15 - VITORINO - 64HA II - VITORINO</t>
  </si>
  <si>
    <t>6G - CAXIAS DO SUL - FAMÍLIA STEDILE</t>
  </si>
  <si>
    <t>9C - PELOTAS - INDUSTRIAL RCL II</t>
  </si>
  <si>
    <t>12B - SAPIRANGA</t>
  </si>
  <si>
    <t>Ativo</t>
  </si>
  <si>
    <t>Empreendimentos</t>
  </si>
  <si>
    <t>Qtde</t>
  </si>
  <si>
    <t>SÃO MIGUEL DOS CAMPOS</t>
  </si>
  <si>
    <t>ALAGOINHAS</t>
  </si>
  <si>
    <t>PORANGATU</t>
  </si>
  <si>
    <t>RIO VERDE</t>
  </si>
  <si>
    <t>ÁGUAS LINDAS DE GOIÁS</t>
  </si>
  <si>
    <t>NOVA SERRANA</t>
  </si>
  <si>
    <t>UBERABA</t>
  </si>
  <si>
    <t>ALTA FLORESTA</t>
  </si>
  <si>
    <t>VÁRZEA GRANDE</t>
  </si>
  <si>
    <t>CANAÃ DOS CARAJÁS</t>
  </si>
  <si>
    <t>ELDORADO DOS CARAJÁS</t>
  </si>
  <si>
    <t>ITAITUBA</t>
  </si>
  <si>
    <t>MARABÁ</t>
  </si>
  <si>
    <t>PARAUAPEBAS</t>
  </si>
  <si>
    <t>TUCUMÃ</t>
  </si>
  <si>
    <t>TUCURUÍ</t>
  </si>
  <si>
    <t>MACAÉ</t>
  </si>
  <si>
    <t>RIO WATER PLANET</t>
  </si>
  <si>
    <t>XERÉM</t>
  </si>
  <si>
    <t>SÃO GONÇALO DO AMARANTE</t>
  </si>
  <si>
    <t>RIO GRANDE</t>
  </si>
  <si>
    <t>ALVARES MACHADO</t>
  </si>
  <si>
    <t>FERNANDÓPOLIS</t>
  </si>
  <si>
    <t>GURUPI</t>
  </si>
  <si>
    <t>PORTO NACIONAL</t>
  </si>
  <si>
    <t>MIRAMONTES EMPREENDIMENTOS IMOBILIÁRIOS LTDA</t>
  </si>
  <si>
    <t>UBERLÃNDIA</t>
  </si>
  <si>
    <t>CONDOMINÍO PORSCHE</t>
  </si>
  <si>
    <t>MAP134</t>
  </si>
  <si>
    <t>MUNARO EMPREENDIMENTOS IMOBILIÁRIOS LTDA</t>
  </si>
  <si>
    <t>Status da área</t>
  </si>
  <si>
    <t>Estudo de viabilidade</t>
  </si>
  <si>
    <t>LandBank</t>
  </si>
  <si>
    <t>GUARANTÃ DO NORTE</t>
  </si>
  <si>
    <t>PERGENTINO DE VASCONCELOS JUNIOR</t>
  </si>
  <si>
    <t>MAP135</t>
  </si>
  <si>
    <t>MAP136</t>
  </si>
  <si>
    <t>Resumo Executivo</t>
  </si>
  <si>
    <t>Cidades</t>
  </si>
  <si>
    <t>Estados (UF)</t>
  </si>
  <si>
    <t>Área Total</t>
  </si>
  <si>
    <t>VGV Total BT</t>
  </si>
  <si>
    <t>cidade</t>
  </si>
  <si>
    <t>uf</t>
  </si>
  <si>
    <t>VGV Total</t>
  </si>
  <si>
    <t>PENDENCIA</t>
  </si>
  <si>
    <t>Inativo</t>
  </si>
  <si>
    <t>Tipo de Contrato</t>
  </si>
  <si>
    <t>Compra e Venda</t>
  </si>
  <si>
    <t>Permuta</t>
  </si>
  <si>
    <t>Arrematação judicial</t>
  </si>
  <si>
    <t>Sim</t>
  </si>
  <si>
    <t>Parceria</t>
  </si>
  <si>
    <t>Aquisição de Cotas</t>
  </si>
  <si>
    <t>Valor de Compra da Área - Aquisição
(R$mm)</t>
  </si>
  <si>
    <t>Participação Terreneiro
(não paga obra)</t>
  </si>
  <si>
    <t>Participação de Sócios Minoritários
(paga obra)</t>
  </si>
  <si>
    <t>MAP137</t>
  </si>
  <si>
    <t>MAP138</t>
  </si>
  <si>
    <t>CENTRO-OESTE I</t>
  </si>
  <si>
    <t>MAP139</t>
  </si>
  <si>
    <t>Unidades Lotes</t>
  </si>
  <si>
    <t>VGV BT</t>
  </si>
  <si>
    <t>Hectare</t>
  </si>
  <si>
    <t>Residencial Jardim América</t>
  </si>
  <si>
    <t>MAP140</t>
  </si>
  <si>
    <t>MAP141</t>
  </si>
  <si>
    <t>MAP142</t>
  </si>
  <si>
    <t>Permuta Financeira</t>
  </si>
  <si>
    <t>sim</t>
  </si>
  <si>
    <t>VEREDAS DO LAGO</t>
  </si>
  <si>
    <t>PASSO FUNDO</t>
  </si>
  <si>
    <t>MAP143</t>
  </si>
  <si>
    <t>Total</t>
  </si>
  <si>
    <t>Lançado</t>
  </si>
  <si>
    <t>A lançar</t>
  </si>
  <si>
    <t>Qtde  lotes</t>
  </si>
  <si>
    <t>Fazenda Paloma II</t>
  </si>
  <si>
    <t>Àrea  Catalão</t>
  </si>
  <si>
    <t>RESIDENCIAL CHÁCARAS ELDORADO</t>
  </si>
  <si>
    <t>BURITI GARDEN PRIME LOTES COMERCIAIS</t>
  </si>
  <si>
    <t>Situação do Empreendimento</t>
  </si>
  <si>
    <t>RESIDENCIAL  ACSV (MARCO ANTONIO)</t>
  </si>
  <si>
    <t>PARQUE DO LAGO (ÁREA REMANESCENTE)</t>
  </si>
  <si>
    <t>RESIDENCIAL JARDIM AMERICA II (BTPR II)</t>
  </si>
  <si>
    <t>JARDIM CALIFORNIA (JCF)</t>
  </si>
  <si>
    <t>RESIDENCIAL BURITI GARDEN</t>
  </si>
  <si>
    <t>RESIDENCIAL BURITI GARDEN II</t>
  </si>
  <si>
    <t>RESIDENCIAL BURITI GARDEN PRIME</t>
  </si>
  <si>
    <t>RESIDENCIAL BURITI GARDEN PRIME II</t>
  </si>
  <si>
    <t>% Cond</t>
  </si>
  <si>
    <t>SITÍO COLINA BRANCA</t>
  </si>
  <si>
    <t>A DEFINIR - ÁREA DO RICARDO</t>
  </si>
  <si>
    <t>RESIDENCIAL CIDADE JARDIM VX</t>
  </si>
  <si>
    <t>A DEFINIR IV</t>
  </si>
  <si>
    <t>A DEFINIR V</t>
  </si>
  <si>
    <t>A DEFINIR VI</t>
  </si>
  <si>
    <t>A DEFINIR VII</t>
  </si>
  <si>
    <t>A DEFINIR VIII</t>
  </si>
  <si>
    <t xml:space="preserve">A DEFINIR </t>
  </si>
  <si>
    <t>CIDADE JARDIM III - SUBETAPA 1</t>
  </si>
  <si>
    <t>CIDADE JARDIM III - SUBETAPA 2 - SANTARÉM</t>
  </si>
  <si>
    <t>CIDADE JARDIM III - SUBETAPA 2</t>
  </si>
  <si>
    <t>BURITI GARDEN PRIME I</t>
  </si>
  <si>
    <t>MAP128</t>
  </si>
  <si>
    <t>HONORATO PIRES MIRANDA "ESPÓLIO"</t>
  </si>
  <si>
    <t>A definir</t>
  </si>
  <si>
    <t>A DEFINIR - ÁREA HONORATO PIRES</t>
  </si>
  <si>
    <t>Uberaba - Chacara Santo Antônio - José Vicente</t>
  </si>
  <si>
    <t>CHACARA SANTO ANTÔNIO - JOSE VICENTE</t>
  </si>
  <si>
    <t xml:space="preserve">A DEFINIR - XEREM </t>
  </si>
  <si>
    <t>XEREM É UM DISTRITO DE DUQUE DE CAXIAS RJ</t>
  </si>
  <si>
    <t>6g- Caxias do Sul - Família STEDILE</t>
  </si>
  <si>
    <t>2D - GUIAÍBA I</t>
  </si>
  <si>
    <t>14 - Passo Fundo - Logística</t>
  </si>
  <si>
    <t>3AB - POA CIDADE NOVA/ ARILDO  I</t>
  </si>
  <si>
    <t>3AB - POA CIDADE NOVA/ ARILDO II</t>
  </si>
  <si>
    <t>3AC - POA CIDADE NOVA/ ARILDO I</t>
  </si>
  <si>
    <t>3AC - POA CIDADE NOVA/ ARILDO II</t>
  </si>
  <si>
    <t>3AC - POA CIDADE NOVA/ ARILDO III</t>
  </si>
  <si>
    <t xml:space="preserve">13b - Torres </t>
  </si>
  <si>
    <t>13B - TORRES</t>
  </si>
  <si>
    <t>RESIDENCIAL BURITI GARDEN PRIME I</t>
  </si>
  <si>
    <t>A DEFINIR - ÁREA CELMA</t>
  </si>
  <si>
    <t>A DEFINIR - HÉRMES</t>
  </si>
  <si>
    <t>A DEFINIR - André e Isaura Castro de Sá</t>
  </si>
  <si>
    <t>A DEFINIR - BELG</t>
  </si>
  <si>
    <t>A DEFINIR - AREA AEROPORTO - ÉDER</t>
  </si>
  <si>
    <t>RESIDENCIAL BURITI GARGEN I</t>
  </si>
  <si>
    <t>RESIDENCIAL BURITI GARGEN II</t>
  </si>
  <si>
    <t>EMPREENDIMENTOS</t>
  </si>
  <si>
    <t>CIDADE</t>
  </si>
  <si>
    <t>ESTADOS</t>
  </si>
  <si>
    <t>ÁREA HECTARE</t>
  </si>
  <si>
    <t>VGV TOTAL</t>
  </si>
  <si>
    <t>UNIDADES (LOTES)</t>
  </si>
  <si>
    <t>3c - POA CIDADE NOVA/FML</t>
  </si>
  <si>
    <t>3b - POA C. NOVA/ DR.MARCO AURÉLIO</t>
  </si>
  <si>
    <t>2030'</t>
  </si>
  <si>
    <t>4B - SANTA CRUZ DO SUL</t>
  </si>
  <si>
    <t>5a-São Leopoldo - Aberto 2ºFase</t>
  </si>
  <si>
    <t>5b-São Leopoldo - Fechado 2ºFase</t>
  </si>
  <si>
    <t>5A - SÃO LEOPOLDO  - ABERTO 2ª FASE</t>
  </si>
  <si>
    <t>5B -SÃO LEOPOLDO - FECHADO 2ª FASE</t>
  </si>
  <si>
    <t>9c - Pelotas - Industrial RCL II</t>
  </si>
  <si>
    <t>12b - Sapiranga</t>
  </si>
  <si>
    <t>12A - SAPIRANGA</t>
  </si>
  <si>
    <t>13A - TORRES</t>
  </si>
  <si>
    <t>15a- Guarapuava - 41ha (Eldorado I)</t>
  </si>
  <si>
    <t>15b-Guarapuava - 24ha (Eldorado II)</t>
  </si>
  <si>
    <t>MIRASSOL D'OESTE</t>
  </si>
  <si>
    <t>ELDORADO DO CARAJÁS</t>
  </si>
  <si>
    <t>GUARAPARI</t>
  </si>
  <si>
    <t>MACAFÉ EMPREENDIMENTOS I</t>
  </si>
  <si>
    <t>MACAFÉ EMPREENDIMENTOS II</t>
  </si>
  <si>
    <t>MACAFÉ EMPREENDIMENTOS III</t>
  </si>
  <si>
    <t>MACAFÉ EMPREENDIMENTOS IV</t>
  </si>
  <si>
    <t>MACAFÉ EMPREENDIMENTOS V</t>
  </si>
  <si>
    <t>MAP144</t>
  </si>
  <si>
    <t>MAP083</t>
  </si>
  <si>
    <t>MAP085</t>
  </si>
  <si>
    <t>FAZENDA AURORA I</t>
  </si>
  <si>
    <t>FAZENDA AURORA II</t>
  </si>
  <si>
    <t>MAP145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</si>
</sst>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_);\(0.0%\);0.0%_);@_)"/>
    <numFmt numFmtId="165" formatCode="0.00%_);\(0.00%\);0.00%_);@_)"/>
    <numFmt numFmtId="166" formatCode="0%_);\(0%\);0%_);@_)"/>
    <numFmt numFmtId="167" formatCode="[$-416]mmm\-yy;@"/>
    <numFmt numFmtId="168" formatCode="&quot;Ativo&quot;;\-#,##0;[Red]&quot;Inativo&quot;"/>
    <numFmt numFmtId="169" formatCode="_-&quot;R$&quot;\ * #,##0_-;\-&quot;R$&quot;\ * #,##0_-;_-&quot;R$&quot;\ * &quot;-&quot;??_-;_-@_-"/>
    <numFmt numFmtId="170" formatCode="_-* #,##0_-;\-* #,##0_-;_-* &quot;-&quot;??_-;_-@_-"/>
    <numFmt numFmtId="171" formatCode="0.0%"/>
    <numFmt numFmtId="172" formatCode="#,##0.00&quot;x&quot;"/>
    <numFmt numFmtId="173" formatCode="_-&quot;R$&quot;\ * #,##0,_-;\-&quot;R$&quot;\ * #,##0_-;_-&quot;R$&quot;\ * &quot;-&quot;??_-;_-@_-"/>
  </numFmts>
  <fonts count="2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FF"/>
      <name val="Inter"/>
    </font>
    <font>
      <sz val="10"/>
      <color theme="1"/>
      <name val="Inter"/>
    </font>
    <font>
      <sz val="10"/>
      <name val="Inter"/>
    </font>
    <font>
      <sz val="10"/>
      <color rgb="FFE5E4D9"/>
      <name val="Inter"/>
    </font>
    <font>
      <b/>
      <sz val="10"/>
      <color rgb="FFE5E4D9"/>
      <name val="Inter"/>
    </font>
    <font>
      <u/>
      <sz val="10"/>
      <name val="Inter"/>
    </font>
    <font>
      <sz val="10"/>
      <color rgb="FF215ED4"/>
      <name val="Inter"/>
    </font>
    <font>
      <b/>
      <sz val="10"/>
      <color theme="1"/>
      <name val="Inte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0"/>
      <name val="Inter"/>
    </font>
    <font>
      <b/>
      <sz val="10"/>
      <color theme="0"/>
      <name val="Inter"/>
    </font>
    <font>
      <b/>
      <sz val="10"/>
      <name val="Inter"/>
    </font>
    <font>
      <sz val="10"/>
      <color rgb="FFFF0000"/>
      <name val="Inter"/>
    </font>
    <font>
      <sz val="11"/>
      <name val="Aptos Narrow"/>
      <family val="2"/>
      <scheme val="minor"/>
    </font>
    <font>
      <b/>
      <sz val="10"/>
      <color rgb="FF215ED4"/>
      <name val="Inte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E550B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E5E4D9"/>
      </left>
      <right style="thin">
        <color rgb="FFE5E4D9"/>
      </right>
      <top style="thin">
        <color rgb="FFE5E4D9"/>
      </top>
      <bottom style="thin">
        <color rgb="FFE5E4D9"/>
      </bottom>
      <diagonal/>
    </border>
    <border>
      <left style="thin">
        <color rgb="FFE5E4D9"/>
      </left>
      <right style="thin">
        <color rgb="FFE5E4D9"/>
      </right>
      <top style="thin">
        <color rgb="FFE5E4D9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E5E4D9"/>
      </left>
      <right/>
      <top style="thin">
        <color rgb="FFE5E4D9"/>
      </top>
      <bottom style="thin">
        <color rgb="FFE5E4D9"/>
      </bottom>
      <diagonal/>
    </border>
    <border>
      <left style="thin">
        <color rgb="FFE5E4D9"/>
      </left>
      <right style="thin">
        <color rgb="FFE5E4D9"/>
      </right>
      <top/>
      <bottom style="thin">
        <color rgb="FFE5E4D9"/>
      </bottom>
      <diagonal/>
    </border>
    <border>
      <left/>
      <right style="thin">
        <color rgb="FFE5E4D9"/>
      </right>
      <top style="thin">
        <color rgb="FFE5E4D9"/>
      </top>
      <bottom style="thin">
        <color rgb="FFE5E4D9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71">
    <xf numFmtId="0" fontId="0" fillId="0" borderId="0" xfId="0"/>
    <xf numFmtId="0" fontId="0" fillId="0" borderId="0" xfId="0" applyAlignment="1">
      <alignment horizontal="center"/>
    </xf>
    <xf numFmtId="37" fontId="0" fillId="0" borderId="0" xfId="0" applyNumberForma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/>
    <xf numFmtId="0" fontId="8" fillId="0" borderId="0" xfId="0" applyFont="1"/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37" fontId="6" fillId="3" borderId="0" xfId="0" applyNumberFormat="1" applyFont="1" applyFill="1" applyAlignment="1">
      <alignment horizontal="left"/>
    </xf>
    <xf numFmtId="3" fontId="6" fillId="3" borderId="0" xfId="0" applyNumberFormat="1" applyFont="1" applyFill="1" applyAlignment="1">
      <alignment horizontal="center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left" indent="1"/>
    </xf>
    <xf numFmtId="37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left"/>
    </xf>
    <xf numFmtId="0" fontId="14" fillId="0" borderId="0" xfId="1" applyFont="1" applyFill="1" applyBorder="1" applyAlignment="1">
      <alignment vertical="center"/>
    </xf>
    <xf numFmtId="168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indent="1"/>
    </xf>
    <xf numFmtId="1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9" fontId="11" fillId="0" borderId="0" xfId="3" applyNumberFormat="1" applyFont="1" applyFill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73" fontId="11" fillId="0" borderId="0" xfId="3" applyNumberFormat="1" applyFont="1" applyFill="1" applyBorder="1" applyAlignment="1">
      <alignment horizontal="right" vertical="center"/>
    </xf>
    <xf numFmtId="168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left" indent="1"/>
    </xf>
    <xf numFmtId="37" fontId="11" fillId="2" borderId="0" xfId="0" applyNumberFormat="1" applyFont="1" applyFill="1" applyAlignment="1">
      <alignment horizontal="center" vertical="center"/>
    </xf>
    <xf numFmtId="1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49" fontId="11" fillId="2" borderId="0" xfId="0" applyNumberFormat="1" applyFont="1" applyFill="1" applyAlignment="1">
      <alignment horizontal="left" vertical="center"/>
    </xf>
    <xf numFmtId="173" fontId="11" fillId="2" borderId="0" xfId="3" applyNumberFormat="1" applyFont="1" applyFill="1" applyBorder="1" applyAlignment="1">
      <alignment horizontal="right" vertical="center"/>
    </xf>
    <xf numFmtId="49" fontId="11" fillId="2" borderId="0" xfId="0" applyNumberFormat="1" applyFont="1" applyFill="1" applyAlignment="1">
      <alignment horizontal="center" vertical="center"/>
    </xf>
    <xf numFmtId="167" fontId="11" fillId="2" borderId="0" xfId="0" applyNumberFormat="1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165" fontId="15" fillId="2" borderId="0" xfId="0" applyNumberFormat="1" applyFont="1" applyFill="1" applyAlignment="1">
      <alignment horizontal="center" vertical="center"/>
    </xf>
    <xf numFmtId="169" fontId="11" fillId="2" borderId="0" xfId="3" applyNumberFormat="1" applyFont="1" applyFill="1" applyBorder="1" applyAlignment="1">
      <alignment horizontal="center" vertical="center"/>
    </xf>
    <xf numFmtId="170" fontId="15" fillId="0" borderId="0" xfId="2" applyNumberFormat="1" applyFont="1" applyFill="1" applyBorder="1" applyAlignment="1">
      <alignment horizontal="center" vertical="center"/>
    </xf>
    <xf numFmtId="170" fontId="15" fillId="2" borderId="0" xfId="2" applyNumberFormat="1" applyFont="1" applyFill="1" applyBorder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166" fontId="15" fillId="2" borderId="0" xfId="0" applyNumberFormat="1" applyFont="1" applyFill="1" applyAlignment="1">
      <alignment horizontal="center" vertical="center"/>
    </xf>
    <xf numFmtId="37" fontId="15" fillId="0" borderId="0" xfId="0" applyNumberFormat="1" applyFont="1" applyAlignment="1">
      <alignment horizontal="center" vertical="center"/>
    </xf>
    <xf numFmtId="37" fontId="15" fillId="2" borderId="0" xfId="0" applyNumberFormat="1" applyFont="1" applyFill="1" applyAlignment="1">
      <alignment horizontal="center" vertical="center"/>
    </xf>
    <xf numFmtId="169" fontId="15" fillId="0" borderId="0" xfId="3" applyNumberFormat="1" applyFont="1" applyFill="1" applyBorder="1" applyAlignment="1">
      <alignment horizontal="center" vertical="center"/>
    </xf>
    <xf numFmtId="169" fontId="15" fillId="2" borderId="0" xfId="3" applyNumberFormat="1" applyFont="1" applyFill="1" applyBorder="1" applyAlignment="1">
      <alignment horizontal="center" vertical="center"/>
    </xf>
    <xf numFmtId="171" fontId="15" fillId="0" borderId="0" xfId="4" applyNumberFormat="1" applyFont="1" applyFill="1" applyBorder="1" applyAlignment="1">
      <alignment horizontal="center" vertical="center"/>
    </xf>
    <xf numFmtId="172" fontId="15" fillId="0" borderId="0" xfId="2" applyNumberFormat="1" applyFont="1" applyFill="1" applyBorder="1"/>
    <xf numFmtId="171" fontId="15" fillId="2" borderId="0" xfId="4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37" fontId="10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/>
    </xf>
    <xf numFmtId="0" fontId="10" fillId="6" borderId="0" xfId="0" applyFont="1" applyFill="1"/>
    <xf numFmtId="0" fontId="11" fillId="6" borderId="0" xfId="0" applyFont="1" applyFill="1" applyAlignment="1">
      <alignment horizontal="center" vertical="center"/>
    </xf>
    <xf numFmtId="37" fontId="11" fillId="6" borderId="0" xfId="0" applyNumberFormat="1" applyFont="1" applyFill="1" applyAlignment="1">
      <alignment horizontal="center" vertical="center"/>
    </xf>
    <xf numFmtId="0" fontId="11" fillId="6" borderId="0" xfId="0" applyFont="1" applyFill="1"/>
    <xf numFmtId="0" fontId="14" fillId="6" borderId="0" xfId="1" applyFont="1" applyFill="1" applyBorder="1" applyAlignment="1">
      <alignment vertical="center"/>
    </xf>
    <xf numFmtId="168" fontId="11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left" indent="1"/>
    </xf>
    <xf numFmtId="1" fontId="11" fillId="6" borderId="0" xfId="0" applyNumberFormat="1" applyFont="1" applyFill="1" applyAlignment="1">
      <alignment horizontal="center" vertical="center"/>
    </xf>
    <xf numFmtId="0" fontId="18" fillId="5" borderId="0" xfId="0" applyFont="1" applyFill="1"/>
    <xf numFmtId="0" fontId="17" fillId="5" borderId="0" xfId="0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17" fillId="5" borderId="0" xfId="0" applyFont="1" applyFill="1"/>
    <xf numFmtId="49" fontId="20" fillId="5" borderId="0" xfId="0" applyNumberFormat="1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 wrapText="1"/>
    </xf>
    <xf numFmtId="3" fontId="0" fillId="0" borderId="0" xfId="0" applyNumberFormat="1"/>
    <xf numFmtId="3" fontId="18" fillId="5" borderId="0" xfId="0" applyNumberFormat="1" applyFont="1" applyFill="1" applyAlignment="1">
      <alignment horizontal="center"/>
    </xf>
    <xf numFmtId="9" fontId="0" fillId="0" borderId="0" xfId="4" applyFont="1" applyAlignment="1">
      <alignment horizontal="center"/>
    </xf>
    <xf numFmtId="0" fontId="11" fillId="6" borderId="0" xfId="1" applyFont="1" applyFill="1" applyBorder="1"/>
    <xf numFmtId="49" fontId="11" fillId="6" borderId="2" xfId="0" applyNumberFormat="1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center" vertical="center"/>
    </xf>
    <xf numFmtId="173" fontId="11" fillId="6" borderId="2" xfId="3" applyNumberFormat="1" applyFont="1" applyFill="1" applyBorder="1" applyAlignment="1">
      <alignment horizontal="right" vertical="center"/>
    </xf>
    <xf numFmtId="49" fontId="11" fillId="6" borderId="2" xfId="0" applyNumberFormat="1" applyFont="1" applyFill="1" applyBorder="1" applyAlignment="1">
      <alignment horizontal="center" vertical="center"/>
    </xf>
    <xf numFmtId="167" fontId="11" fillId="6" borderId="2" xfId="0" applyNumberFormat="1" applyFont="1" applyFill="1" applyBorder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 vertical="center"/>
    </xf>
    <xf numFmtId="165" fontId="15" fillId="6" borderId="2" xfId="0" applyNumberFormat="1" applyFont="1" applyFill="1" applyBorder="1" applyAlignment="1">
      <alignment horizontal="center" vertical="center"/>
    </xf>
    <xf numFmtId="166" fontId="15" fillId="6" borderId="2" xfId="0" applyNumberFormat="1" applyFont="1" applyFill="1" applyBorder="1" applyAlignment="1">
      <alignment horizontal="center" vertical="center"/>
    </xf>
    <xf numFmtId="170" fontId="15" fillId="6" borderId="2" xfId="2" applyNumberFormat="1" applyFont="1" applyFill="1" applyBorder="1" applyAlignment="1">
      <alignment horizontal="center" vertical="center"/>
    </xf>
    <xf numFmtId="37" fontId="11" fillId="6" borderId="2" xfId="0" applyNumberFormat="1" applyFont="1" applyFill="1" applyBorder="1" applyAlignment="1">
      <alignment horizontal="center" vertical="center"/>
    </xf>
    <xf numFmtId="37" fontId="15" fillId="6" borderId="2" xfId="0" applyNumberFormat="1" applyFont="1" applyFill="1" applyBorder="1" applyAlignment="1">
      <alignment horizontal="center" vertical="center"/>
    </xf>
    <xf numFmtId="169" fontId="15" fillId="6" borderId="2" xfId="3" applyNumberFormat="1" applyFont="1" applyFill="1" applyBorder="1" applyAlignment="1">
      <alignment horizontal="center" vertical="center"/>
    </xf>
    <xf numFmtId="171" fontId="15" fillId="6" borderId="2" xfId="4" applyNumberFormat="1" applyFont="1" applyFill="1" applyBorder="1" applyAlignment="1">
      <alignment horizontal="center" vertical="center"/>
    </xf>
    <xf numFmtId="172" fontId="15" fillId="6" borderId="2" xfId="2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49" fontId="21" fillId="6" borderId="2" xfId="0" applyNumberFormat="1" applyFont="1" applyFill="1" applyBorder="1" applyAlignment="1">
      <alignment horizontal="left" vertical="center"/>
    </xf>
    <xf numFmtId="173" fontId="22" fillId="6" borderId="2" xfId="3" applyNumberFormat="1" applyFont="1" applyFill="1" applyBorder="1" applyAlignment="1">
      <alignment horizontal="right" vertical="center"/>
    </xf>
    <xf numFmtId="49" fontId="22" fillId="6" borderId="2" xfId="0" applyNumberFormat="1" applyFont="1" applyFill="1" applyBorder="1" applyAlignment="1">
      <alignment horizontal="left" vertical="center"/>
    </xf>
    <xf numFmtId="0" fontId="22" fillId="6" borderId="2" xfId="0" applyFont="1" applyFill="1" applyBorder="1" applyAlignment="1">
      <alignment horizontal="center" vertical="center"/>
    </xf>
    <xf numFmtId="170" fontId="22" fillId="6" borderId="2" xfId="2" applyNumberFormat="1" applyFont="1" applyFill="1" applyBorder="1" applyAlignment="1">
      <alignment horizontal="center" vertical="center"/>
    </xf>
    <xf numFmtId="165" fontId="11" fillId="6" borderId="2" xfId="0" applyNumberFormat="1" applyFont="1" applyFill="1" applyBorder="1" applyAlignment="1">
      <alignment horizontal="center" vertical="center"/>
    </xf>
    <xf numFmtId="166" fontId="11" fillId="6" borderId="2" xfId="0" applyNumberFormat="1" applyFont="1" applyFill="1" applyBorder="1" applyAlignment="1">
      <alignment horizontal="center" vertical="center"/>
    </xf>
    <xf numFmtId="170" fontId="11" fillId="6" borderId="2" xfId="2" applyNumberFormat="1" applyFont="1" applyFill="1" applyBorder="1" applyAlignment="1">
      <alignment horizontal="center" vertical="center"/>
    </xf>
    <xf numFmtId="169" fontId="11" fillId="6" borderId="2" xfId="3" applyNumberFormat="1" applyFont="1" applyFill="1" applyBorder="1" applyAlignment="1">
      <alignment horizontal="center" vertical="center"/>
    </xf>
    <xf numFmtId="171" fontId="11" fillId="6" borderId="2" xfId="4" applyNumberFormat="1" applyFont="1" applyFill="1" applyBorder="1" applyAlignment="1">
      <alignment horizontal="center" vertical="center"/>
    </xf>
    <xf numFmtId="172" fontId="11" fillId="6" borderId="2" xfId="2" applyNumberFormat="1" applyFont="1" applyFill="1" applyBorder="1" applyAlignment="1">
      <alignment horizontal="center"/>
    </xf>
    <xf numFmtId="0" fontId="11" fillId="2" borderId="0" xfId="0" applyFont="1" applyFill="1"/>
    <xf numFmtId="0" fontId="14" fillId="2" borderId="0" xfId="1" applyFont="1" applyFill="1" applyBorder="1" applyAlignment="1">
      <alignment vertical="center"/>
    </xf>
    <xf numFmtId="49" fontId="11" fillId="2" borderId="2" xfId="0" applyNumberFormat="1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173" fontId="11" fillId="2" borderId="2" xfId="3" applyNumberFormat="1" applyFont="1" applyFill="1" applyBorder="1" applyAlignment="1">
      <alignment horizontal="right" vertical="center"/>
    </xf>
    <xf numFmtId="49" fontId="11" fillId="2" borderId="2" xfId="0" applyNumberFormat="1" applyFont="1" applyFill="1" applyBorder="1" applyAlignment="1">
      <alignment horizontal="center" vertical="center"/>
    </xf>
    <xf numFmtId="167" fontId="11" fillId="2" borderId="2" xfId="0" applyNumberFormat="1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5" fontId="15" fillId="2" borderId="2" xfId="0" applyNumberFormat="1" applyFont="1" applyFill="1" applyBorder="1" applyAlignment="1">
      <alignment horizontal="center" vertical="center"/>
    </xf>
    <xf numFmtId="166" fontId="15" fillId="2" borderId="2" xfId="0" applyNumberFormat="1" applyFont="1" applyFill="1" applyBorder="1" applyAlignment="1">
      <alignment horizontal="center" vertical="center"/>
    </xf>
    <xf numFmtId="170" fontId="15" fillId="2" borderId="2" xfId="2" applyNumberFormat="1" applyFont="1" applyFill="1" applyBorder="1" applyAlignment="1">
      <alignment horizontal="center" vertical="center"/>
    </xf>
    <xf numFmtId="37" fontId="11" fillId="2" borderId="2" xfId="0" applyNumberFormat="1" applyFont="1" applyFill="1" applyBorder="1" applyAlignment="1">
      <alignment horizontal="center" vertical="center"/>
    </xf>
    <xf numFmtId="37" fontId="15" fillId="2" borderId="2" xfId="0" applyNumberFormat="1" applyFont="1" applyFill="1" applyBorder="1" applyAlignment="1">
      <alignment horizontal="center" vertical="center"/>
    </xf>
    <xf numFmtId="169" fontId="15" fillId="2" borderId="2" xfId="3" applyNumberFormat="1" applyFont="1" applyFill="1" applyBorder="1" applyAlignment="1">
      <alignment horizontal="center" vertical="center"/>
    </xf>
    <xf numFmtId="171" fontId="15" fillId="2" borderId="2" xfId="4" applyNumberFormat="1" applyFont="1" applyFill="1" applyBorder="1" applyAlignment="1">
      <alignment horizontal="center" vertical="center"/>
    </xf>
    <xf numFmtId="172" fontId="15" fillId="2" borderId="2" xfId="2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0" xfId="0" applyFont="1" applyFill="1"/>
    <xf numFmtId="49" fontId="21" fillId="2" borderId="2" xfId="0" applyNumberFormat="1" applyFont="1" applyFill="1" applyBorder="1" applyAlignment="1">
      <alignment horizontal="left" vertical="center"/>
    </xf>
    <xf numFmtId="173" fontId="22" fillId="2" borderId="2" xfId="3" applyNumberFormat="1" applyFont="1" applyFill="1" applyBorder="1" applyAlignment="1">
      <alignment horizontal="right" vertical="center"/>
    </xf>
    <xf numFmtId="165" fontId="11" fillId="2" borderId="2" xfId="0" applyNumberFormat="1" applyFont="1" applyFill="1" applyBorder="1" applyAlignment="1">
      <alignment horizontal="center" vertical="center"/>
    </xf>
    <xf numFmtId="166" fontId="11" fillId="2" borderId="2" xfId="0" applyNumberFormat="1" applyFont="1" applyFill="1" applyBorder="1" applyAlignment="1">
      <alignment horizontal="center" vertical="center"/>
    </xf>
    <xf numFmtId="170" fontId="11" fillId="2" borderId="2" xfId="2" applyNumberFormat="1" applyFont="1" applyFill="1" applyBorder="1" applyAlignment="1">
      <alignment horizontal="center" vertical="center"/>
    </xf>
    <xf numFmtId="169" fontId="11" fillId="2" borderId="2" xfId="3" applyNumberFormat="1" applyFont="1" applyFill="1" applyBorder="1" applyAlignment="1">
      <alignment horizontal="center" vertical="center"/>
    </xf>
    <xf numFmtId="171" fontId="11" fillId="2" borderId="2" xfId="4" applyNumberFormat="1" applyFont="1" applyFill="1" applyBorder="1" applyAlignment="1">
      <alignment horizontal="center" vertical="center"/>
    </xf>
    <xf numFmtId="172" fontId="11" fillId="2" borderId="2" xfId="2" applyNumberFormat="1" applyFont="1" applyFill="1" applyBorder="1" applyAlignment="1">
      <alignment horizontal="center"/>
    </xf>
    <xf numFmtId="0" fontId="9" fillId="2" borderId="0" xfId="0" applyFont="1" applyFill="1"/>
    <xf numFmtId="0" fontId="10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/>
    </xf>
    <xf numFmtId="0" fontId="10" fillId="2" borderId="2" xfId="0" applyFont="1" applyFill="1" applyBorder="1" applyAlignment="1">
      <alignment horizontal="left"/>
    </xf>
    <xf numFmtId="0" fontId="10" fillId="2" borderId="2" xfId="0" applyFont="1" applyFill="1" applyBorder="1"/>
    <xf numFmtId="0" fontId="10" fillId="2" borderId="0" xfId="0" applyFont="1" applyFill="1" applyAlignment="1">
      <alignment horizontal="left" indent="1"/>
    </xf>
    <xf numFmtId="0" fontId="0" fillId="0" borderId="0" xfId="0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49" fontId="22" fillId="6" borderId="2" xfId="0" applyNumberFormat="1" applyFont="1" applyFill="1" applyBorder="1" applyAlignment="1">
      <alignment horizontal="center" vertical="center"/>
    </xf>
    <xf numFmtId="167" fontId="22" fillId="6" borderId="2" xfId="0" applyNumberFormat="1" applyFont="1" applyFill="1" applyBorder="1" applyAlignment="1">
      <alignment horizontal="center" vertical="center"/>
    </xf>
    <xf numFmtId="164" fontId="22" fillId="6" borderId="2" xfId="0" applyNumberFormat="1" applyFont="1" applyFill="1" applyBorder="1" applyAlignment="1">
      <alignment horizontal="center" vertical="center"/>
    </xf>
    <xf numFmtId="165" fontId="22" fillId="6" borderId="2" xfId="0" applyNumberFormat="1" applyFont="1" applyFill="1" applyBorder="1" applyAlignment="1">
      <alignment horizontal="center" vertical="center"/>
    </xf>
    <xf numFmtId="166" fontId="22" fillId="6" borderId="2" xfId="0" applyNumberFormat="1" applyFont="1" applyFill="1" applyBorder="1" applyAlignment="1">
      <alignment horizontal="center" vertical="center"/>
    </xf>
    <xf numFmtId="37" fontId="22" fillId="6" borderId="2" xfId="0" applyNumberFormat="1" applyFont="1" applyFill="1" applyBorder="1" applyAlignment="1">
      <alignment horizontal="center" vertical="center"/>
    </xf>
    <xf numFmtId="169" fontId="22" fillId="6" borderId="2" xfId="3" applyNumberFormat="1" applyFont="1" applyFill="1" applyBorder="1" applyAlignment="1">
      <alignment horizontal="center" vertical="center"/>
    </xf>
    <xf numFmtId="171" fontId="22" fillId="6" borderId="2" xfId="4" applyNumberFormat="1" applyFont="1" applyFill="1" applyBorder="1" applyAlignment="1">
      <alignment horizontal="center" vertical="center"/>
    </xf>
    <xf numFmtId="172" fontId="22" fillId="6" borderId="2" xfId="2" applyNumberFormat="1" applyFont="1" applyFill="1" applyBorder="1" applyAlignment="1">
      <alignment horizontal="center"/>
    </xf>
    <xf numFmtId="0" fontId="22" fillId="6" borderId="2" xfId="0" applyFont="1" applyFill="1" applyBorder="1" applyAlignment="1">
      <alignment horizontal="center"/>
    </xf>
    <xf numFmtId="0" fontId="22" fillId="0" borderId="0" xfId="0" applyFont="1"/>
    <xf numFmtId="0" fontId="22" fillId="6" borderId="0" xfId="0" applyFont="1" applyFill="1"/>
    <xf numFmtId="173" fontId="11" fillId="0" borderId="2" xfId="3" applyNumberFormat="1" applyFont="1" applyFill="1" applyBorder="1" applyAlignment="1">
      <alignment horizontal="right" vertical="center"/>
    </xf>
    <xf numFmtId="170" fontId="15" fillId="0" borderId="2" xfId="2" applyNumberFormat="1" applyFont="1" applyFill="1" applyBorder="1" applyAlignment="1">
      <alignment horizontal="center" vertical="center"/>
    </xf>
    <xf numFmtId="169" fontId="15" fillId="0" borderId="2" xfId="3" applyNumberFormat="1" applyFont="1" applyFill="1" applyBorder="1" applyAlignment="1">
      <alignment horizontal="center" vertical="center"/>
    </xf>
    <xf numFmtId="171" fontId="15" fillId="0" borderId="2" xfId="4" applyNumberFormat="1" applyFont="1" applyFill="1" applyBorder="1" applyAlignment="1">
      <alignment horizontal="center" vertical="center"/>
    </xf>
    <xf numFmtId="172" fontId="15" fillId="0" borderId="2" xfId="2" applyNumberFormat="1" applyFont="1" applyFill="1" applyBorder="1" applyAlignment="1">
      <alignment horizontal="center"/>
    </xf>
    <xf numFmtId="49" fontId="10" fillId="2" borderId="2" xfId="0" applyNumberFormat="1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11" fillId="0" borderId="3" xfId="0" applyFont="1" applyBorder="1"/>
    <xf numFmtId="0" fontId="14" fillId="0" borderId="3" xfId="1" applyFont="1" applyFill="1" applyBorder="1" applyAlignment="1">
      <alignment vertical="center"/>
    </xf>
    <xf numFmtId="168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left" indent="1"/>
    </xf>
    <xf numFmtId="37" fontId="11" fillId="0" borderId="3" xfId="0" applyNumberFormat="1" applyFont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left" vertical="center"/>
    </xf>
    <xf numFmtId="173" fontId="11" fillId="0" borderId="3" xfId="3" applyNumberFormat="1" applyFont="1" applyFill="1" applyBorder="1" applyAlignment="1">
      <alignment horizontal="right" vertical="center"/>
    </xf>
    <xf numFmtId="49" fontId="11" fillId="0" borderId="3" xfId="0" applyNumberFormat="1" applyFont="1" applyBorder="1" applyAlignment="1">
      <alignment horizontal="center" vertical="center"/>
    </xf>
    <xf numFmtId="167" fontId="11" fillId="0" borderId="3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166" fontId="15" fillId="0" borderId="3" xfId="0" applyNumberFormat="1" applyFont="1" applyBorder="1" applyAlignment="1">
      <alignment horizontal="center" vertical="center"/>
    </xf>
    <xf numFmtId="170" fontId="15" fillId="0" borderId="3" xfId="2" applyNumberFormat="1" applyFont="1" applyFill="1" applyBorder="1" applyAlignment="1">
      <alignment horizontal="center" vertical="center"/>
    </xf>
    <xf numFmtId="37" fontId="15" fillId="0" borderId="3" xfId="0" applyNumberFormat="1" applyFont="1" applyBorder="1" applyAlignment="1">
      <alignment horizontal="center" vertical="center"/>
    </xf>
    <xf numFmtId="169" fontId="15" fillId="0" borderId="3" xfId="3" applyNumberFormat="1" applyFont="1" applyFill="1" applyBorder="1" applyAlignment="1">
      <alignment horizontal="center" vertical="center"/>
    </xf>
    <xf numFmtId="171" fontId="15" fillId="0" borderId="3" xfId="4" applyNumberFormat="1" applyFont="1" applyFill="1" applyBorder="1" applyAlignment="1">
      <alignment horizontal="center" vertical="center"/>
    </xf>
    <xf numFmtId="172" fontId="15" fillId="0" borderId="3" xfId="2" applyNumberFormat="1" applyFont="1" applyFill="1" applyBorder="1"/>
    <xf numFmtId="0" fontId="23" fillId="0" borderId="0" xfId="0" applyFont="1" applyAlignment="1">
      <alignment horizontal="center"/>
    </xf>
    <xf numFmtId="49" fontId="11" fillId="0" borderId="2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167" fontId="11" fillId="0" borderId="2" xfId="0" applyNumberFormat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166" fontId="15" fillId="0" borderId="2" xfId="0" applyNumberFormat="1" applyFont="1" applyBorder="1" applyAlignment="1">
      <alignment horizontal="center" vertical="center"/>
    </xf>
    <xf numFmtId="37" fontId="11" fillId="0" borderId="2" xfId="0" applyNumberFormat="1" applyFont="1" applyBorder="1" applyAlignment="1">
      <alignment horizontal="center" vertical="center"/>
    </xf>
    <xf numFmtId="37" fontId="15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173" fontId="22" fillId="0" borderId="2" xfId="3" applyNumberFormat="1" applyFont="1" applyFill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2" xfId="0" applyFont="1" applyBorder="1" applyAlignment="1">
      <alignment horizontal="left"/>
    </xf>
    <xf numFmtId="49" fontId="10" fillId="0" borderId="2" xfId="0" applyNumberFormat="1" applyFont="1" applyBorder="1" applyAlignment="1">
      <alignment horizontal="left" vertical="center"/>
    </xf>
    <xf numFmtId="0" fontId="9" fillId="0" borderId="0" xfId="0" applyFont="1"/>
    <xf numFmtId="49" fontId="10" fillId="0" borderId="3" xfId="0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" fillId="2" borderId="0" xfId="1" applyFill="1" applyBorder="1" applyAlignment="1">
      <alignment vertical="center"/>
    </xf>
    <xf numFmtId="173" fontId="10" fillId="2" borderId="2" xfId="3" applyNumberFormat="1" applyFont="1" applyFill="1" applyBorder="1" applyAlignment="1">
      <alignment horizontal="right" vertical="center"/>
    </xf>
    <xf numFmtId="0" fontId="11" fillId="2" borderId="3" xfId="0" applyFont="1" applyFill="1" applyBorder="1"/>
    <xf numFmtId="0" fontId="14" fillId="2" borderId="3" xfId="1" applyFont="1" applyFill="1" applyBorder="1" applyAlignment="1">
      <alignment vertical="center"/>
    </xf>
    <xf numFmtId="168" fontId="11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indent="1"/>
    </xf>
    <xf numFmtId="37" fontId="11" fillId="2" borderId="3" xfId="0" applyNumberFormat="1" applyFont="1" applyFill="1" applyBorder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left" vertical="center"/>
    </xf>
    <xf numFmtId="173" fontId="11" fillId="2" borderId="3" xfId="3" applyNumberFormat="1" applyFont="1" applyFill="1" applyBorder="1" applyAlignment="1">
      <alignment horizontal="right" vertical="center"/>
    </xf>
    <xf numFmtId="49" fontId="11" fillId="2" borderId="3" xfId="0" applyNumberFormat="1" applyFont="1" applyFill="1" applyBorder="1" applyAlignment="1">
      <alignment horizontal="center" vertical="center"/>
    </xf>
    <xf numFmtId="167" fontId="11" fillId="2" borderId="3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5" fontId="15" fillId="2" borderId="3" xfId="0" applyNumberFormat="1" applyFont="1" applyFill="1" applyBorder="1" applyAlignment="1">
      <alignment horizontal="center" vertical="center"/>
    </xf>
    <xf numFmtId="166" fontId="15" fillId="2" borderId="3" xfId="0" applyNumberFormat="1" applyFont="1" applyFill="1" applyBorder="1" applyAlignment="1">
      <alignment horizontal="center" vertical="center"/>
    </xf>
    <xf numFmtId="37" fontId="15" fillId="2" borderId="3" xfId="0" applyNumberFormat="1" applyFont="1" applyFill="1" applyBorder="1" applyAlignment="1">
      <alignment horizontal="center" vertical="center"/>
    </xf>
    <xf numFmtId="169" fontId="15" fillId="2" borderId="3" xfId="3" applyNumberFormat="1" applyFont="1" applyFill="1" applyBorder="1" applyAlignment="1">
      <alignment horizontal="center" vertical="center"/>
    </xf>
    <xf numFmtId="171" fontId="15" fillId="2" borderId="3" xfId="4" applyNumberFormat="1" applyFont="1" applyFill="1" applyBorder="1" applyAlignment="1">
      <alignment horizontal="center" vertical="center"/>
    </xf>
    <xf numFmtId="0" fontId="11" fillId="2" borderId="4" xfId="0" applyFont="1" applyFill="1" applyBorder="1"/>
    <xf numFmtId="0" fontId="14" fillId="2" borderId="4" xfId="1" applyFont="1" applyFill="1" applyBorder="1" applyAlignment="1">
      <alignment vertical="center"/>
    </xf>
    <xf numFmtId="168" fontId="11" fillId="2" borderId="4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indent="1"/>
    </xf>
    <xf numFmtId="37" fontId="11" fillId="2" borderId="4" xfId="0" applyNumberFormat="1" applyFont="1" applyFill="1" applyBorder="1" applyAlignment="1">
      <alignment horizontal="center" vertical="center"/>
    </xf>
    <xf numFmtId="1" fontId="11" fillId="2" borderId="4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49" fontId="11" fillId="2" borderId="4" xfId="0" applyNumberFormat="1" applyFont="1" applyFill="1" applyBorder="1" applyAlignment="1">
      <alignment horizontal="left" vertical="center"/>
    </xf>
    <xf numFmtId="173" fontId="11" fillId="2" borderId="4" xfId="3" applyNumberFormat="1" applyFont="1" applyFill="1" applyBorder="1" applyAlignment="1">
      <alignment horizontal="right" vertical="center"/>
    </xf>
    <xf numFmtId="49" fontId="11" fillId="2" borderId="4" xfId="0" applyNumberFormat="1" applyFont="1" applyFill="1" applyBorder="1" applyAlignment="1">
      <alignment horizontal="center" vertical="center"/>
    </xf>
    <xf numFmtId="167" fontId="11" fillId="2" borderId="4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165" fontId="15" fillId="2" borderId="4" xfId="0" applyNumberFormat="1" applyFont="1" applyFill="1" applyBorder="1" applyAlignment="1">
      <alignment horizontal="center" vertical="center"/>
    </xf>
    <xf numFmtId="166" fontId="15" fillId="2" borderId="4" xfId="0" applyNumberFormat="1" applyFont="1" applyFill="1" applyBorder="1" applyAlignment="1">
      <alignment horizontal="center" vertical="center"/>
    </xf>
    <xf numFmtId="37" fontId="15" fillId="2" borderId="4" xfId="0" applyNumberFormat="1" applyFont="1" applyFill="1" applyBorder="1" applyAlignment="1">
      <alignment horizontal="center" vertical="center"/>
    </xf>
    <xf numFmtId="169" fontId="15" fillId="2" borderId="4" xfId="3" applyNumberFormat="1" applyFont="1" applyFill="1" applyBorder="1" applyAlignment="1">
      <alignment horizontal="center" vertical="center"/>
    </xf>
    <xf numFmtId="171" fontId="15" fillId="2" borderId="4" xfId="4" applyNumberFormat="1" applyFont="1" applyFill="1" applyBorder="1" applyAlignment="1">
      <alignment horizontal="center" vertical="center"/>
    </xf>
    <xf numFmtId="0" fontId="10" fillId="2" borderId="3" xfId="0" applyFont="1" applyFill="1" applyBorder="1"/>
    <xf numFmtId="0" fontId="10" fillId="2" borderId="3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center"/>
    </xf>
    <xf numFmtId="49" fontId="10" fillId="2" borderId="3" xfId="0" applyNumberFormat="1" applyFont="1" applyFill="1" applyBorder="1" applyAlignment="1">
      <alignment horizontal="left" vertical="center"/>
    </xf>
    <xf numFmtId="37" fontId="15" fillId="0" borderId="5" xfId="0" applyNumberFormat="1" applyFont="1" applyBorder="1" applyAlignment="1">
      <alignment horizontal="center" vertical="center"/>
    </xf>
    <xf numFmtId="37" fontId="15" fillId="0" borderId="6" xfId="0" applyNumberFormat="1" applyFont="1" applyBorder="1" applyAlignment="1">
      <alignment horizontal="center" vertical="center"/>
    </xf>
    <xf numFmtId="3" fontId="0" fillId="0" borderId="7" xfId="0" applyNumberFormat="1" applyBorder="1" applyAlignment="1">
      <alignment horizontal="right"/>
    </xf>
    <xf numFmtId="3" fontId="18" fillId="0" borderId="9" xfId="0" applyNumberFormat="1" applyFont="1" applyBorder="1" applyAlignment="1">
      <alignment horizontal="right"/>
    </xf>
    <xf numFmtId="37" fontId="15" fillId="2" borderId="5" xfId="0" applyNumberFormat="1" applyFont="1" applyFill="1" applyBorder="1" applyAlignment="1">
      <alignment horizontal="center" vertical="center"/>
    </xf>
    <xf numFmtId="37" fontId="15" fillId="2" borderId="6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left" vertical="center"/>
    </xf>
    <xf numFmtId="49" fontId="11" fillId="2" borderId="2" xfId="0" applyNumberFormat="1" applyFont="1" applyFill="1" applyBorder="1" applyAlignment="1">
      <alignment vertical="center"/>
    </xf>
    <xf numFmtId="9" fontId="15" fillId="0" borderId="2" xfId="4" applyFont="1" applyFill="1" applyBorder="1" applyAlignment="1">
      <alignment horizontal="center" vertical="center"/>
    </xf>
    <xf numFmtId="172" fontId="15" fillId="0" borderId="3" xfId="2" applyNumberFormat="1" applyFont="1" applyFill="1" applyBorder="1" applyAlignment="1">
      <alignment horizontal="center"/>
    </xf>
    <xf numFmtId="172" fontId="15" fillId="2" borderId="3" xfId="2" applyNumberFormat="1" applyFont="1" applyFill="1" applyBorder="1" applyAlignment="1">
      <alignment horizontal="center"/>
    </xf>
    <xf numFmtId="172" fontId="15" fillId="2" borderId="4" xfId="2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5" fillId="2" borderId="0" xfId="0" applyFont="1" applyFill="1"/>
    <xf numFmtId="0" fontId="15" fillId="0" borderId="0" xfId="0" applyFont="1"/>
    <xf numFmtId="0" fontId="15" fillId="2" borderId="3" xfId="0" applyFont="1" applyFill="1" applyBorder="1"/>
    <xf numFmtId="0" fontId="15" fillId="0" borderId="3" xfId="0" applyFont="1" applyBorder="1"/>
    <xf numFmtId="0" fontId="24" fillId="0" borderId="0" xfId="0" applyFont="1"/>
    <xf numFmtId="0" fontId="24" fillId="2" borderId="0" xfId="0" applyFont="1" applyFill="1"/>
    <xf numFmtId="0" fontId="15" fillId="2" borderId="4" xfId="0" applyFont="1" applyFill="1" applyBorder="1"/>
    <xf numFmtId="0" fontId="15" fillId="2" borderId="0" xfId="1" applyFont="1" applyFill="1" applyBorder="1"/>
    <xf numFmtId="0" fontId="15" fillId="2" borderId="0" xfId="1" applyFont="1" applyFill="1" applyBorder="1" applyAlignment="1"/>
    <xf numFmtId="0" fontId="15" fillId="2" borderId="3" xfId="1" applyFont="1" applyFill="1" applyBorder="1"/>
    <xf numFmtId="0" fontId="15" fillId="0" borderId="0" xfId="1" applyFont="1" applyFill="1" applyBorder="1"/>
    <xf numFmtId="0" fontId="24" fillId="2" borderId="3" xfId="0" applyFont="1" applyFill="1" applyBorder="1"/>
    <xf numFmtId="9" fontId="15" fillId="2" borderId="2" xfId="4" applyFont="1" applyFill="1" applyBorder="1" applyAlignment="1">
      <alignment horizontal="center" vertical="center"/>
    </xf>
    <xf numFmtId="44" fontId="0" fillId="0" borderId="8" xfId="3" applyFont="1" applyBorder="1" applyAlignment="1">
      <alignment horizontal="right"/>
    </xf>
    <xf numFmtId="44" fontId="0" fillId="0" borderId="3" xfId="3" applyFont="1" applyBorder="1" applyAlignment="1">
      <alignment horizontal="right"/>
    </xf>
    <xf numFmtId="0" fontId="0" fillId="0" borderId="3" xfId="0" applyBorder="1" applyAlignment="1">
      <alignment horizontal="left" indent="1"/>
    </xf>
    <xf numFmtId="0" fontId="0" fillId="0" borderId="7" xfId="0" applyBorder="1" applyAlignment="1">
      <alignment horizontal="left" indent="1"/>
    </xf>
    <xf numFmtId="0" fontId="0" fillId="0" borderId="3" xfId="0" applyBorder="1" applyAlignment="1">
      <alignment horizontal="right"/>
    </xf>
    <xf numFmtId="37" fontId="0" fillId="0" borderId="4" xfId="0" applyNumberFormat="1" applyBorder="1" applyAlignment="1">
      <alignment horizontal="right"/>
    </xf>
    <xf numFmtId="0" fontId="0" fillId="0" borderId="0" xfId="0" applyAlignment="1">
      <alignment horizontal="center"/>
    </xf>
    <xf numFmtId="37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left"/>
    </xf>
    <xf numFmtId="3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5">
    <cellStyle name="Hiperlink" xfId="1" builtinId="8"/>
    <cellStyle name="Moeda" xfId="3" builtinId="4"/>
    <cellStyle name="Normal" xfId="0" builtinId="0"/>
    <cellStyle name="Porcentagem" xfId="4" builtinId="5"/>
    <cellStyle name="Vírgula" xfId="2" builtinId="3"/>
  </cellStyles>
  <dxfs count="2">
    <dxf>
      <fill>
        <patternFill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3E550B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3E550B"/>
      <color rgb="FF215ED4"/>
      <color rgb="FFF2F2F2"/>
      <color rgb="FFE5E4D9"/>
      <color rgb="FF0000FF"/>
      <color rgb="FFFFFFCC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1</xdr:col>
      <xdr:colOff>1381125</xdr:colOff>
      <xdr:row>4</xdr:row>
      <xdr:rowOff>120650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4A1F11E-02BF-CB51-9CBC-C0DC3E977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8100"/>
          <a:ext cx="1628775" cy="806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530225</xdr:colOff>
      <xdr:row>153</xdr:row>
      <xdr:rowOff>76200</xdr:rowOff>
    </xdr:from>
    <xdr:to>
      <xdr:col>24</xdr:col>
      <xdr:colOff>21373</xdr:colOff>
      <xdr:row>167</xdr:row>
      <xdr:rowOff>19396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440F493-490D-4EA5-972F-1B5D1CE6D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6025" y="8943975"/>
          <a:ext cx="16652023" cy="24768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552786</xdr:colOff>
      <xdr:row>0</xdr:row>
      <xdr:rowOff>45503</xdr:rowOff>
    </xdr:from>
    <xdr:ext cx="4279249" cy="405432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6CBA247-FD4D-1E7E-0DC6-9CEEFEF4FE24}"/>
            </a:ext>
          </a:extLst>
        </xdr:cNvPr>
        <xdr:cNvSpPr/>
      </xdr:nvSpPr>
      <xdr:spPr>
        <a:xfrm>
          <a:off x="1162386" y="45503"/>
          <a:ext cx="4279249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Brasil</a:t>
          </a:r>
          <a:r>
            <a:rPr lang="pt-BR" sz="20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Terrenos Holding S.A (Landbank)</a:t>
          </a:r>
          <a:endParaRPr lang="pt-BR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38100</xdr:colOff>
      <xdr:row>0</xdr:row>
      <xdr:rowOff>28575</xdr:rowOff>
    </xdr:from>
    <xdr:to>
      <xdr:col>1</xdr:col>
      <xdr:colOff>419254</xdr:colOff>
      <xdr:row>2</xdr:row>
      <xdr:rowOff>168275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B4DFDF4-C9A7-BB96-5D0A-A2E049733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8575"/>
          <a:ext cx="1105054" cy="5016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FD854D-467A-41B2-8A15-5D69E53798DC}" name="Tabela1" displayName="Tabela1" ref="A4:R15" totalsRowShown="0" headerRowDxfId="1">
  <autoFilter ref="A4:R15" xr:uid="{13FD854D-467A-41B2-8A15-5D69E53798DC}"/>
  <tableColumns count="18">
    <tableColumn id="1" xr3:uid="{D3B0257E-493C-49AF-B5D6-A6B794097F3F}" name="Regional"/>
    <tableColumn id="2" xr3:uid="{A3492EFD-2454-4783-B707-6CC01E39B6B2}" name="Cidade"/>
    <tableColumn id="3" xr3:uid="{E426B703-254F-4F2E-9345-D6F7E8206751}" name="UF"/>
    <tableColumn id="4" xr3:uid="{B2DF0F29-2650-453B-AD1D-7450D25FC244}" name="Empreendimento"/>
    <tableColumn id="5" xr3:uid="{94B06EF5-8658-4F10-9748-944C6518FCBB}" name="Tipo"/>
    <tableColumn id="6" xr3:uid="{D48C7195-A9B5-4810-9D58-6D50D74CA58B}" name="Year"/>
    <tableColumn id="7" xr3:uid="{B1D437E4-2CE9-44FB-9DEF-69443A1D7898}" name="Data de Lançamento"/>
    <tableColumn id="8" xr3:uid="{7D7ADF49-7557-4574-829F-E29B81E11F96}" name="Participação Buriti"/>
    <tableColumn id="9" xr3:uid="{6B9E914D-E962-48DB-9B50-8D84360B43ED}" name="Participação Terreneiro_x000a_(não paga obra)"/>
    <tableColumn id="10" xr3:uid="{D67668EC-0970-4408-90AD-2D5C90F67BB7}" name="Participação Buriti + Terreneiro"/>
    <tableColumn id="11" xr3:uid="{D11C1A80-B65C-4597-850D-8EC6C361E3FE}" name="Area Total m2"/>
    <tableColumn id="12" xr3:uid="{676F8E19-A56E-4B6C-BF08-2C662083D6CA}" name="m2 por Unidade"/>
    <tableColumn id="13" xr3:uid="{D5B0883B-8B2B-4220-8195-800DB27ABA88}" name="Valor m2 Venda"/>
    <tableColumn id="14" xr3:uid="{664E3D6D-3387-4C39-A88A-516D9B118928}" name="Valor médio por terreno"/>
    <tableColumn id="15" xr3:uid="{AEA52976-547D-415C-B935-B3E06EEDCF7D}" name="Total de Unidades"/>
    <tableColumn id="16" xr3:uid="{1CC672DE-FF59-44A3-B38E-CDD04DA9CA88}" name="Custo médio por terreno"/>
    <tableColumn id="17" xr3:uid="{1DFE7CAE-4657-40B1-8F17-B49CF8AFD541}" name="VGV Total_x000a_(R$mm)"/>
    <tableColumn id="18" xr3:uid="{C88ADE06-9D5D-45D3-BC48-1F7787C21F87}" name="VGV Total_x000a_(R$mm) B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TargetMode="External"/><Relationship Id="rId18" Type="http://schemas.openxmlformats.org/officeDocument/2006/relationships/hyperlink" Target="https://earth.google.com/web/search/PRESIDENTE+PRUDENTE/@-22.14116354,-51.35308002,408.23858461a,3078.88745257d,35y,0h,0t,0r/data=CiwiJgokCQO2VLUNETfAEV-ipG2MFTfAGcVo9EuN20bAIW53qAeE4EbAQgIIAToDCgEwQgIIAEoICJfn8a8FEAA?authuser=0" TargetMode="External"/><Relationship Id="rId26" Type="http://schemas.openxmlformats.org/officeDocument/2006/relationships/hyperlink" Target="https://earth.google.com/web/search/Penedo,+AL/@-10.25735808,-36.57115779,78.36658822a,3198.69005319d,35y,0h,0t,0r/data=CiwiJgokCSEY7vitZSLAEUE54MEYuCPAGb-vF-6sm0HAIR2ubXgmSkLAQgIIAToDCgEwQgIIAEoICJfn8a8FEAA?authuser=0" TargetMode="External"/><Relationship Id="rId39" Type="http://schemas.openxmlformats.org/officeDocument/2006/relationships/hyperlink" Target="https://earth.google.com/web/search/Torres,+RS/@-29.39094249,-49.79542536,11.86627966a,3844.364941d,35y,0h,0t,0r/data=CiwiJgokCUqW-EB3YznAEXs_7PEYaTnAGabKp-VawEnAIVblElawxknAQgIIAToDCgEwQgIIAEoICJfn8a8FEAA?authuser=0" TargetMode="External"/><Relationship Id="rId21" Type="http://schemas.openxmlformats.org/officeDocument/2006/relationships/hyperlink" Target="https://earth.google.com/web/search/Duque+de+Caxias,+RJ/@-22.66541941,-43.35607799,4.11315555a,678.00629462d,35y,-0h,0t,0r/data=CiwiJgokCUvDRSzvbjbAEZpP4J6LfDbAGco2nMkqO0bAIdAPxNEhSkbAQgIIAToDCgEwQgIIAEoICJfn8a8FEAA?authuser=0" TargetMode="External"/><Relationship Id="rId34" Type="http://schemas.openxmlformats.org/officeDocument/2006/relationships/hyperlink" Target="https://earth.google.com/web/search/RIO+DE+JANEIRO/@-22.98862614,-43.54653162,5.6419623a,1442.52576017d,35y,0h,0t,0r/data=CiwiJgokCRTrwKfDnzbAEaD090t2ojbAGapL29TAo0XAIYIA7fu4pkXAQgIIAToDCgEwQgIIAEoICJfn8a8FEAA?authuser=0" TargetMode="External"/><Relationship Id="rId7" Type="http://schemas.openxmlformats.org/officeDocument/2006/relationships/hyperlink" Target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TargetMode="External"/><Relationship Id="rId2" Type="http://schemas.openxmlformats.org/officeDocument/2006/relationships/hyperlink" Target="https://earth.google.com/web/search/RESIDENCIAL+JARDIM+IPIRANGA+II+-+XINGUARA/@-7.12104404,-49.92523395,224.47331647a,1424.00240818d,35y,-0h,0t,0r/data=CiwiJgokCUUfzO5U4h_AEV26WHYzKSDAGfKhedaB80jAITi3e0FBEEnAQgIIAToDCgEwQgIIAEoICJfn8a8FEAA?authuser=0" TargetMode="External"/><Relationship Id="rId16" Type="http://schemas.openxmlformats.org/officeDocument/2006/relationships/hyperlink" Target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TargetMode="External"/><Relationship Id="rId20" Type="http://schemas.openxmlformats.org/officeDocument/2006/relationships/hyperlink" Target="https://earth.google.com/web/search/Duque+de+Caxias,+RJ/@-22.62573879,-43.25838279,18.39588858a,1961.37171176d,35y,0h,0t,0r/data=CiwiJgokCUvDRSzvbjbAEZpP4J6LfDbAGco2nMkqO0bAIdAPxNEhSkbAQgIIAToDCgEwQgIIAEoICJfn8a8FEAA?authuser=0" TargetMode="External"/><Relationship Id="rId29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41" Type="http://schemas.openxmlformats.org/officeDocument/2006/relationships/comments" Target="../comments1.xml"/><Relationship Id="rId1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6" Type="http://schemas.openxmlformats.org/officeDocument/2006/relationships/hyperlink" Target="https://earth.google.com/web/search/PORANGATU/@-13.48236643,-49.14549603,382.15167639a,2164.91720392d,35y,0h,0t,0r/data=CiwiJgokCWja37IRLyTAEe8U1cKTsCTAGV6kVeFeHkjAIUSO7Fo9YUjAQgIIAToDCgEwQgIIAEoICJfn8a8FEAA?authuser=0" TargetMode="External"/><Relationship Id="rId11" Type="http://schemas.openxmlformats.org/officeDocument/2006/relationships/hyperlink" Target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TargetMode="External"/><Relationship Id="rId24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32" Type="http://schemas.openxmlformats.org/officeDocument/2006/relationships/hyperlink" Target="https://earth.google.com/web/search/CAXIAS+DO+SUL/@-29.10724565,-51.11635957,827.09427571a,2319.35937575d,35y,0h,0t,0r/data=CiwiJgokCdbUR9LrSz3AEWtE3O5JUz3AGY4iHQCDWknAISsKRq0YY0nAQgIIAToDCgEwQgIIAEoICJfn8a8FEAA?authuser=0" TargetMode="External"/><Relationship Id="rId37" Type="http://schemas.openxmlformats.org/officeDocument/2006/relationships/hyperlink" Target="https://earth.google.com/web/search/UBERABA/@-19.72044234,-47.90939623,805.08281673a,3321.08224063d,35y,0h,0t,0r/data=CiwiJgokCVPME395-TbAEeHVZYPw-zbAGd2RiiIOvUXAIT6JLXLGv0XAQgIIAToDCgEwQgIIAEoICJfn8a8FEAA?authuser=0" TargetMode="External"/><Relationship Id="rId40" Type="http://schemas.openxmlformats.org/officeDocument/2006/relationships/vmlDrawing" Target="../drawings/vmlDrawing1.vml"/><Relationship Id="rId5" Type="http://schemas.openxmlformats.org/officeDocument/2006/relationships/hyperlink" Target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TargetMode="External"/><Relationship Id="rId15" Type="http://schemas.openxmlformats.org/officeDocument/2006/relationships/hyperlink" Target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TargetMode="External"/><Relationship Id="rId23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28" Type="http://schemas.openxmlformats.org/officeDocument/2006/relationships/hyperlink" Target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TargetMode="External"/><Relationship Id="rId36" Type="http://schemas.openxmlformats.org/officeDocument/2006/relationships/hyperlink" Target="https://earth.google.com/web/search/Rio+Water+Planet+-+Vargem+Grande,+Rio+de+Janeiro+-+RJ/@-22.97932476,-43.48761622,7.82165637a,1689.89378841d,35y,0h,0t,0r/data=CiwiJgokCTgPgsbnOzDAEf3Z-ywSUjbAGak7SsebOEDAIc0sY3wO7EbAQgIIAToDCgEwQgIIAEoICJfn8a8FEAA?authuser=0" TargetMode="External"/><Relationship Id="rId10" Type="http://schemas.openxmlformats.org/officeDocument/2006/relationships/hyperlink" Target="https://earth.google.com/web/search/CUIAB%c3%81/@-15.55669308,-56.14650334,159.69800373a,2841.75984399d,35y,0h,0t,0r/data=CiwiJgokCTDbVLh45ybAEXD1A07O7ybAGaZZUBA5uU7AIdT4-d2KvU7AQgIIAToDCgEwQgIIAEoICJfn8a8FEAA?authuser=0" TargetMode="External"/><Relationship Id="rId19" Type="http://schemas.openxmlformats.org/officeDocument/2006/relationships/hyperlink" Target="https://earth.google.com/web/search/PRESIDENTE+PRUDENTE/@-22.06712728,-51.37175302,456.77615334a,2330.45847911d,35y,0h,0t,0r/data=CiwiJgokCQO2VLUNETfAEV-ipG2MFTfAGcVo9EuN20bAIW53qAeE4EbAQgIIAToDCgEwQgIIAEoICJfn8a8FEAA?authuser=0" TargetMode="External"/><Relationship Id="rId31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4" Type="http://schemas.openxmlformats.org/officeDocument/2006/relationships/hyperlink" Target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TargetMode="External"/><Relationship Id="rId9" Type="http://schemas.openxmlformats.org/officeDocument/2006/relationships/hyperlink" Target="https://earth.google.com/web/search/CACOAL/@-11.46023209,-61.46392704,192.80524441a,2677.20500742d,35y,0.00000001h,0t,0r/data=CiwiJgokCR-NyuOUryXAEUa9h2WxuCXAGViFzbpE_U7AISHjgBr7AU_AQgIIAToDCgEwQgIIAEoICJfn8a8FEAA?authuser=0" TargetMode="External"/><Relationship Id="rId14" Type="http://schemas.openxmlformats.org/officeDocument/2006/relationships/hyperlink" Target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TargetMode="External"/><Relationship Id="rId22" Type="http://schemas.openxmlformats.org/officeDocument/2006/relationships/hyperlink" Target="https://earth.google.com/web/search/CRATO/@-7.23451766,-39.35968774,395.14410239a,4808.57124561d,35y,0h,0t,0r/data=CiwiJgokCREenKRkwgvAEaRMcJe6-AvAGbMRrrPsyUPAIf7hsFbW0EPAQgIIAToDCgEwQgIIAEoICJfn8a8FEAA?authuser=0" TargetMode="External"/><Relationship Id="rId27" Type="http://schemas.openxmlformats.org/officeDocument/2006/relationships/hyperlink" Target="https://earth.google.com/web/search/RESIDENCIAL+JARDIM+EUROPA+2+-+ALAGOINHA/@-12.16901753,-38.4079717,117.33325024a,3592.41516492d,35y,0h,0t,0r/data=CiwiJgokCVvsaFFQZxrAESI5vVrxVB7AGWgJCTaDWkHAIWhUtp4sXELAQgIIAToDCgEwQgIIAEoICJfn8a8FEAA?authuser=0" TargetMode="External"/><Relationship Id="rId30" Type="http://schemas.openxmlformats.org/officeDocument/2006/relationships/hyperlink" Target="https://earth.google.com/web/search/MONTES+CLAROS/@-16.78340211,-43.85914746,708.18079241a,4857.74891966d,35y,0h,0t,0r/data=CiwiJgokCaYkZ-ZvtTPAEWpwuK9tuzPAGWYZIm4r8UfAIR546sKi90fAQgIIAToDCgEwQgIIAEoICJfn8a8FEAA?authuser=0" TargetMode="External"/><Relationship Id="rId35" Type="http://schemas.openxmlformats.org/officeDocument/2006/relationships/hyperlink" Target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TargetMode="External"/><Relationship Id="rId8" Type="http://schemas.openxmlformats.org/officeDocument/2006/relationships/hyperlink" Target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TargetMode="External"/><Relationship Id="rId3" Type="http://schemas.openxmlformats.org/officeDocument/2006/relationships/hyperlink" Target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TargetMode="External"/><Relationship Id="rId12" Type="http://schemas.openxmlformats.org/officeDocument/2006/relationships/hyperlink" Target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TargetMode="External"/><Relationship Id="rId17" Type="http://schemas.openxmlformats.org/officeDocument/2006/relationships/hyperlink" Target="https://earth.google.com/web/search/CA%c3%87APAVA/@-23.07539289,-45.73464968,614.24652742a,2481.52766127d,35y,0h,0t,0r/data=CiwiJgokCcNcRG6evShAEQTyLp3d_zzAGZ9UYKQ7AyBAIVqsCoydTFrAQgIIAToDCgEwQgIIAEoICJfn8a8FEAA?authuser=0" TargetMode="External"/><Relationship Id="rId25" Type="http://schemas.openxmlformats.org/officeDocument/2006/relationships/hyperlink" Target="https://earth.google.com/web/search/MARECHAL+DEODORO/@-9.75268373,-35.84765408,4.2701174a,3214.95034437d,35y,0h,0t,0r/data=CiwiJgokCWeqOyo7eCPAETh3cFu0hiPAGVxp7S1rVULAIVnrvdbgXELAQgIIAToDCgEwQgIIAEoICJfn8a8FEAA?authuser=0" TargetMode="External"/><Relationship Id="rId33" Type="http://schemas.openxmlformats.org/officeDocument/2006/relationships/hyperlink" Target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TargetMode="External"/><Relationship Id="rId38" Type="http://schemas.openxmlformats.org/officeDocument/2006/relationships/hyperlink" Target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arth.google.com/web/search/UBERABA/@-19.72044234,-47.90939623,805.08281673a,3321.08224063d,35y,0h,0t,0r/data=CiwiJgokCVPME395-TbAEeHVZYPw-zbAGd2RiiIOvUXAIT6JLXLGv0XAQgIIAToDCgEwQgIIAEoICJfn8a8FEAA?authuser=0" TargetMode="External"/><Relationship Id="rId3" Type="http://schemas.openxmlformats.org/officeDocument/2006/relationships/hyperlink" Target="https://earth.google.com/web/search/CAXIAS+DO+SUL/@-29.10724565,-51.11635957,827.09427571a,2319.35937575d,35y,0h,0t,0r/data=CiwiJgokCdbUR9LrSz3AEWtE3O5JUz3AGY4iHQCDWknAISsKRq0YY0nAQgIIAToDCgEwQgIIAEoICJfn8a8FEAA?authuser=0" TargetMode="External"/><Relationship Id="rId7" Type="http://schemas.openxmlformats.org/officeDocument/2006/relationships/hyperlink" Target="https://earth.google.com/web/search/Rio+Water+Planet+-+Vargem+Grande,+Rio+de+Janeiro+-+RJ/@-22.97932476,-43.48761622,7.82165637a,1689.89378841d,35y,0h,0t,0r/data=CiwiJgokCTgPgsbnOzDAEf3Z-ywSUjbAGak7SsebOEDAIc0sY3wO7EbAQgIIAToDCgEwQgIIAEoICJfn8a8FEAA?authuser=0" TargetMode="External"/><Relationship Id="rId12" Type="http://schemas.openxmlformats.org/officeDocument/2006/relationships/comments" Target="../comments2.xml"/><Relationship Id="rId2" Type="http://schemas.openxmlformats.org/officeDocument/2006/relationships/hyperlink" Target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TargetMode="External"/><Relationship Id="rId1" Type="http://schemas.openxmlformats.org/officeDocument/2006/relationships/hyperlink" Target="https://earth.google.com/web/search/Torres,+RS/@-29.39094249,-49.79542536,11.86627966a,3844.364941d,35y,0h,0t,0r/data=CiwiJgokCUqW-EB3YznAEXs_7PEYaTnAGabKp-VawEnAIVblElawxknAQgIIAToDCgEwQgIIAEoICJfn8a8FEAA?authuser=0" TargetMode="External"/><Relationship Id="rId6" Type="http://schemas.openxmlformats.org/officeDocument/2006/relationships/hyperlink" Target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TargetMode="External"/><Relationship Id="rId11" Type="http://schemas.openxmlformats.org/officeDocument/2006/relationships/vmlDrawing" Target="../drawings/vmlDrawing2.vml"/><Relationship Id="rId5" Type="http://schemas.openxmlformats.org/officeDocument/2006/relationships/hyperlink" Target="https://earth.google.com/web/search/RIO+DE+JANEIRO/@-22.98862614,-43.54653162,5.6419623a,1442.52576017d,35y,0h,0t,0r/data=CiwiJgokCRTrwKfDnzbAEaD090t2ojbAGapL29TAo0XAIYIA7fu4pkXAQgIIAToDCgEwQgIIAEoICJfn8a8FEAA?authuser=0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TargetMode="External"/><Relationship Id="rId9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E7F9-B7E0-4EE5-A96E-08F27078CA81}">
  <sheetPr codeName="Folha1"/>
  <dimension ref="A1:DS242"/>
  <sheetViews>
    <sheetView showGridLines="0" tabSelected="1" topLeftCell="D3" zoomScale="115" zoomScaleNormal="115" workbookViewId="0">
      <pane ySplit="1" topLeftCell="A4" activePane="bottomLeft" state="frozen"/>
      <selection activeCell="K3" sqref="K3"/>
      <selection pane="bottomLeft" activeCell="K23" sqref="K23"/>
    </sheetView>
  </sheetViews>
  <sheetFormatPr defaultColWidth="9.1796875" defaultRowHeight="12.5" outlineLevelCol="1"/>
  <cols>
    <col min="1" max="1" width="15.1796875" style="15" hidden="1" customWidth="1" outlineLevel="1"/>
    <col min="2" max="2" width="58.453125" style="20" hidden="1" customWidth="1" outlineLevel="1"/>
    <col min="3" max="3" width="27.81640625" style="15" hidden="1" customWidth="1" outlineLevel="1"/>
    <col min="4" max="4" width="10.54296875" style="18" customWidth="1" collapsed="1"/>
    <col min="5" max="5" width="23.1796875" style="16" customWidth="1"/>
    <col min="6" max="6" width="18.1796875" style="15" hidden="1" customWidth="1" outlineLevel="1"/>
    <col min="7" max="7" width="16.26953125" style="18" hidden="1" customWidth="1" outlineLevel="1"/>
    <col min="8" max="9" width="10.54296875" style="15" hidden="1" customWidth="1" outlineLevel="1"/>
    <col min="10" max="10" width="11.81640625" style="15" hidden="1" customWidth="1" outlineLevel="1"/>
    <col min="11" max="11" width="17.453125" style="20" customWidth="1" collapsed="1"/>
    <col min="12" max="12" width="28.54296875" style="15" bestFit="1" customWidth="1"/>
    <col min="13" max="13" width="11.81640625" style="18" customWidth="1"/>
    <col min="14" max="14" width="53.453125" style="15" customWidth="1"/>
    <col min="15" max="15" width="21.7265625" style="15" customWidth="1"/>
    <col min="16" max="16" width="18.1796875" style="15" customWidth="1"/>
    <col min="17" max="17" width="16.7265625" style="18" customWidth="1"/>
    <col min="18" max="18" width="15.6328125" style="18" customWidth="1"/>
    <col min="19" max="19" width="9.90625" style="18" customWidth="1"/>
    <col min="20" max="20" width="15.08984375" style="15" bestFit="1" customWidth="1"/>
    <col min="21" max="21" width="11.81640625" style="15" customWidth="1"/>
    <col min="22" max="23" width="12.81640625" style="15" customWidth="1"/>
    <col min="24" max="24" width="11.1796875" style="15" customWidth="1"/>
    <col min="25" max="25" width="14" style="15" customWidth="1"/>
    <col min="26" max="26" width="10.1796875" style="15" customWidth="1"/>
    <col min="27" max="27" width="10.81640625" style="15" customWidth="1"/>
    <col min="28" max="28" width="14.1796875" style="15" customWidth="1"/>
    <col min="29" max="29" width="15.1796875" style="15" customWidth="1"/>
    <col min="30" max="30" width="11.54296875" style="15" customWidth="1"/>
    <col min="31" max="31" width="11.81640625" style="15" customWidth="1"/>
    <col min="32" max="32" width="11.1796875" style="15" customWidth="1"/>
    <col min="33" max="33" width="12.1796875" style="15" customWidth="1"/>
    <col min="34" max="34" width="8.81640625" style="15" bestFit="1" customWidth="1"/>
    <col min="35" max="35" width="8.54296875" style="15" bestFit="1" customWidth="1"/>
    <col min="36" max="36" width="10.81640625" style="15" customWidth="1"/>
    <col min="37" max="37" width="9.54296875" style="15" customWidth="1"/>
    <col min="38" max="39" width="9" style="15" customWidth="1"/>
    <col min="40" max="40" width="18.1796875" style="15" bestFit="1" customWidth="1"/>
    <col min="41" max="41" width="14.453125" style="15" customWidth="1"/>
    <col min="42" max="42" width="12.81640625" style="15" customWidth="1"/>
    <col min="43" max="43" width="12.54296875" style="18" bestFit="1" customWidth="1"/>
    <col min="44" max="44" width="17.7265625" style="18" customWidth="1"/>
    <col min="45" max="16384" width="9.1796875" style="15"/>
  </cols>
  <sheetData>
    <row r="1" spans="1:123" ht="13" hidden="1">
      <c r="O1" s="56" t="s">
        <v>706</v>
      </c>
      <c r="P1" s="56" t="s">
        <v>746</v>
      </c>
      <c r="Q1" s="56" t="s">
        <v>566</v>
      </c>
      <c r="R1" s="56" t="s">
        <v>769</v>
      </c>
      <c r="S1" s="56" t="s">
        <v>748</v>
      </c>
      <c r="T1" s="56" t="s">
        <v>771</v>
      </c>
      <c r="U1" s="56" t="s">
        <v>752</v>
      </c>
      <c r="V1" s="56" t="s">
        <v>770</v>
      </c>
    </row>
    <row r="2" spans="1:123" s="18" customFormat="1" hidden="1">
      <c r="O2" s="18">
        <f>SUBTOTAL(103,N4:N185)</f>
        <v>182</v>
      </c>
      <c r="P2" s="18">
        <f>COUNTA(_xlfn.UNIQUE(L4:L189))</f>
        <v>70</v>
      </c>
      <c r="Q2" s="18">
        <f>COUNTA(_xlfn.UNIQUE(M4:M312))</f>
        <v>18</v>
      </c>
      <c r="R2" s="57">
        <f>SUM(AJ4:AJ295)</f>
        <v>213609.38223506496</v>
      </c>
      <c r="S2" s="57">
        <f>SUM(AC4:AC164)</f>
        <v>38796400.778454773</v>
      </c>
      <c r="T2" s="58">
        <f>S2/10000</f>
        <v>3879.6400778454772</v>
      </c>
      <c r="U2" s="57">
        <f>SUM(AL4:AL164)</f>
        <v>25412.966948068919</v>
      </c>
      <c r="V2" s="57">
        <f>SUM(AM4:AM164)</f>
        <v>17037.865838593043</v>
      </c>
    </row>
    <row r="3" spans="1:123" s="193" customFormat="1" ht="59" customHeight="1">
      <c r="A3" s="12" t="s">
        <v>413</v>
      </c>
      <c r="B3" s="13" t="s">
        <v>0</v>
      </c>
      <c r="C3" s="12" t="s">
        <v>319</v>
      </c>
      <c r="D3" s="12" t="s">
        <v>1</v>
      </c>
      <c r="E3" s="13" t="s">
        <v>738</v>
      </c>
      <c r="F3" s="13" t="s">
        <v>540</v>
      </c>
      <c r="G3" s="13" t="s">
        <v>537</v>
      </c>
      <c r="H3" s="13" t="s">
        <v>535</v>
      </c>
      <c r="I3" s="13" t="s">
        <v>536</v>
      </c>
      <c r="J3" s="13" t="s">
        <v>528</v>
      </c>
      <c r="K3" s="13" t="s">
        <v>2</v>
      </c>
      <c r="L3" s="13" t="s">
        <v>3</v>
      </c>
      <c r="M3" s="13" t="s">
        <v>566</v>
      </c>
      <c r="N3" s="72" t="s">
        <v>4</v>
      </c>
      <c r="O3" s="14" t="s">
        <v>755</v>
      </c>
      <c r="P3" s="14" t="s">
        <v>762</v>
      </c>
      <c r="Q3" s="13" t="s">
        <v>5</v>
      </c>
      <c r="R3" s="13" t="s">
        <v>549</v>
      </c>
      <c r="S3" s="13" t="s">
        <v>6</v>
      </c>
      <c r="T3" s="13" t="s">
        <v>13</v>
      </c>
      <c r="U3" s="13" t="s">
        <v>7</v>
      </c>
      <c r="V3" s="13" t="s">
        <v>763</v>
      </c>
      <c r="W3" s="13" t="s">
        <v>8</v>
      </c>
      <c r="X3" s="13" t="s">
        <v>9</v>
      </c>
      <c r="Y3" s="13" t="s">
        <v>10</v>
      </c>
      <c r="Z3" s="13" t="s">
        <v>11</v>
      </c>
      <c r="AA3" s="13" t="s">
        <v>12</v>
      </c>
      <c r="AB3" s="13" t="s">
        <v>764</v>
      </c>
      <c r="AC3" s="13" t="s">
        <v>532</v>
      </c>
      <c r="AD3" s="13" t="s">
        <v>14</v>
      </c>
      <c r="AE3" s="13" t="s">
        <v>15</v>
      </c>
      <c r="AF3" s="13" t="s">
        <v>16</v>
      </c>
      <c r="AG3" s="13" t="s">
        <v>17</v>
      </c>
      <c r="AH3" s="13" t="s">
        <v>530</v>
      </c>
      <c r="AI3" s="13" t="s">
        <v>18</v>
      </c>
      <c r="AJ3" s="13" t="s">
        <v>19</v>
      </c>
      <c r="AK3" s="13" t="s">
        <v>531</v>
      </c>
      <c r="AL3" s="13" t="s">
        <v>20</v>
      </c>
      <c r="AM3" s="13" t="s">
        <v>21</v>
      </c>
      <c r="AN3" s="13" t="s">
        <v>533</v>
      </c>
      <c r="AO3" s="13" t="s">
        <v>534</v>
      </c>
      <c r="AP3" s="13" t="s">
        <v>542</v>
      </c>
      <c r="AQ3" s="72" t="s">
        <v>529</v>
      </c>
      <c r="AR3" s="72" t="s">
        <v>789</v>
      </c>
    </row>
    <row r="4" spans="1:123" s="120" customFormat="1">
      <c r="A4" s="247" t="s">
        <v>414</v>
      </c>
      <c r="B4" s="103" t="s">
        <v>308</v>
      </c>
      <c r="C4" s="104" t="s">
        <v>334</v>
      </c>
      <c r="D4" s="33">
        <v>1</v>
      </c>
      <c r="E4" s="34" t="s">
        <v>740</v>
      </c>
      <c r="F4" s="35"/>
      <c r="G4" s="36">
        <v>2040</v>
      </c>
      <c r="H4" s="35"/>
      <c r="I4" s="35"/>
      <c r="J4" s="37">
        <v>355</v>
      </c>
      <c r="K4" s="105" t="s">
        <v>767</v>
      </c>
      <c r="L4" s="105" t="s">
        <v>564</v>
      </c>
      <c r="M4" s="106" t="s">
        <v>579</v>
      </c>
      <c r="N4" s="154" t="s">
        <v>178</v>
      </c>
      <c r="O4" s="105" t="s">
        <v>758</v>
      </c>
      <c r="P4" s="107">
        <v>11775750</v>
      </c>
      <c r="Q4" s="108" t="s">
        <v>25</v>
      </c>
      <c r="R4" s="108" t="s">
        <v>759</v>
      </c>
      <c r="S4" s="106">
        <v>2026</v>
      </c>
      <c r="T4" s="109">
        <v>46203</v>
      </c>
      <c r="U4" s="110">
        <v>0.75</v>
      </c>
      <c r="V4" s="110">
        <v>0.25</v>
      </c>
      <c r="W4" s="111">
        <f t="shared" ref="W4:W33" si="0">SUM(U4:V4)</f>
        <v>1</v>
      </c>
      <c r="X4" s="110">
        <v>0.05</v>
      </c>
      <c r="Y4" s="110">
        <v>9.0000000000000011E-2</v>
      </c>
      <c r="Z4" s="110">
        <v>6.8000000000000005E-2</v>
      </c>
      <c r="AA4" s="112">
        <v>0.19800000000000001</v>
      </c>
      <c r="AB4" s="110"/>
      <c r="AC4" s="113">
        <f>AI4*AJ4</f>
        <v>265341.3</v>
      </c>
      <c r="AD4" s="109"/>
      <c r="AE4" s="114">
        <f t="shared" ref="AE4:AE33" si="1">P4/10^6</f>
        <v>11.77575</v>
      </c>
      <c r="AF4" s="112">
        <f t="shared" ref="AF4:AF33" si="2">IF(AL4=0,0,AE4/AL4)</f>
        <v>9.0570683331780089E-2</v>
      </c>
      <c r="AG4" s="115">
        <f t="shared" ref="AG4:AG35" si="3">(AH4*AI4*AJ4)/10^6</f>
        <v>39.270512400000008</v>
      </c>
      <c r="AH4" s="114">
        <v>148</v>
      </c>
      <c r="AI4" s="114">
        <v>304.99</v>
      </c>
      <c r="AJ4" s="114">
        <v>870</v>
      </c>
      <c r="AK4" s="114">
        <v>490</v>
      </c>
      <c r="AL4" s="115">
        <f t="shared" ref="AL4:AL35" si="4">(AK4*AJ4*AI4)/10^6</f>
        <v>130.01723699999999</v>
      </c>
      <c r="AM4" s="115">
        <f t="shared" ref="AM4:AM35" si="5">AL4*U4</f>
        <v>97.512927749999989</v>
      </c>
      <c r="AN4" s="116">
        <f t="shared" ref="AN4:AN35" si="6">AI4*AK4</f>
        <v>149445.1</v>
      </c>
      <c r="AO4" s="116">
        <f t="shared" ref="AO4:AO35" si="7">AH4*AI4</f>
        <v>45138.520000000004</v>
      </c>
      <c r="AP4" s="117">
        <f t="shared" ref="AP4:AP35" si="8">U4+AB4</f>
        <v>0.75</v>
      </c>
      <c r="AQ4" s="118">
        <f t="shared" ref="AQ4:AQ35" si="9">AL4*AP4/(AG4+AE4)</f>
        <v>1.9102853600893601</v>
      </c>
      <c r="AR4" s="119" t="s">
        <v>783</v>
      </c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</row>
    <row r="5" spans="1:123">
      <c r="A5" s="248" t="s">
        <v>523</v>
      </c>
      <c r="B5" s="19" t="s">
        <v>313</v>
      </c>
      <c r="C5" s="21" t="s">
        <v>332</v>
      </c>
      <c r="D5" s="22">
        <v>1</v>
      </c>
      <c r="E5" s="23" t="s">
        <v>740</v>
      </c>
      <c r="F5" s="17"/>
      <c r="G5" s="24">
        <v>2770</v>
      </c>
      <c r="H5" s="17"/>
      <c r="I5" s="17"/>
      <c r="J5" s="25">
        <v>360</v>
      </c>
      <c r="K5" s="176" t="s">
        <v>548</v>
      </c>
      <c r="L5" s="176" t="s">
        <v>182</v>
      </c>
      <c r="M5" s="177" t="s">
        <v>579</v>
      </c>
      <c r="N5" s="190" t="s">
        <v>185</v>
      </c>
      <c r="O5" s="176" t="s">
        <v>760</v>
      </c>
      <c r="P5" s="149">
        <v>0</v>
      </c>
      <c r="Q5" s="178" t="s">
        <v>25</v>
      </c>
      <c r="R5" s="178" t="s">
        <v>26</v>
      </c>
      <c r="S5" s="177">
        <v>2026</v>
      </c>
      <c r="T5" s="179">
        <v>46295</v>
      </c>
      <c r="U5" s="180">
        <v>0.8</v>
      </c>
      <c r="V5" s="180"/>
      <c r="W5" s="181">
        <f t="shared" si="0"/>
        <v>0.8</v>
      </c>
      <c r="X5" s="180"/>
      <c r="Y5" s="180"/>
      <c r="Z5" s="180"/>
      <c r="AA5" s="182">
        <v>0.19800000000000001</v>
      </c>
      <c r="AB5" s="180">
        <v>0.19999999999999996</v>
      </c>
      <c r="AC5" s="113">
        <f>AI5*AJ5</f>
        <v>192245.77127659574</v>
      </c>
      <c r="AD5" s="179"/>
      <c r="AE5" s="183">
        <f t="shared" si="1"/>
        <v>0</v>
      </c>
      <c r="AF5" s="182">
        <f t="shared" si="2"/>
        <v>0</v>
      </c>
      <c r="AG5" s="184">
        <f t="shared" si="3"/>
        <v>28.452374148936173</v>
      </c>
      <c r="AH5" s="183">
        <v>148</v>
      </c>
      <c r="AI5" s="183">
        <v>384.49154255319149</v>
      </c>
      <c r="AJ5" s="183">
        <v>500</v>
      </c>
      <c r="AK5" s="183">
        <v>500</v>
      </c>
      <c r="AL5" s="184">
        <f t="shared" si="4"/>
        <v>96.122885638297873</v>
      </c>
      <c r="AM5" s="184">
        <f t="shared" si="5"/>
        <v>76.898308510638302</v>
      </c>
      <c r="AN5" s="151">
        <f t="shared" si="6"/>
        <v>192245.77127659574</v>
      </c>
      <c r="AO5" s="151">
        <f t="shared" si="7"/>
        <v>56904.748297872342</v>
      </c>
      <c r="AP5" s="152">
        <f t="shared" si="8"/>
        <v>1</v>
      </c>
      <c r="AQ5" s="153">
        <f t="shared" si="9"/>
        <v>3.3783783783783781</v>
      </c>
      <c r="AR5" s="185" t="s">
        <v>783</v>
      </c>
    </row>
    <row r="6" spans="1:123" s="120" customFormat="1">
      <c r="A6" s="247" t="s">
        <v>523</v>
      </c>
      <c r="B6" s="103" t="s">
        <v>314</v>
      </c>
      <c r="C6" s="104" t="s">
        <v>332</v>
      </c>
      <c r="D6" s="33">
        <v>1</v>
      </c>
      <c r="E6" s="34" t="s">
        <v>740</v>
      </c>
      <c r="F6" s="35"/>
      <c r="G6" s="36">
        <v>2770</v>
      </c>
      <c r="H6" s="35"/>
      <c r="I6" s="35"/>
      <c r="J6" s="37">
        <v>361</v>
      </c>
      <c r="K6" s="105" t="s">
        <v>548</v>
      </c>
      <c r="L6" s="105" t="s">
        <v>182</v>
      </c>
      <c r="M6" s="106" t="s">
        <v>579</v>
      </c>
      <c r="N6" s="154" t="s">
        <v>186</v>
      </c>
      <c r="O6" s="105" t="s">
        <v>760</v>
      </c>
      <c r="P6" s="107">
        <v>0</v>
      </c>
      <c r="Q6" s="108" t="s">
        <v>25</v>
      </c>
      <c r="R6" s="108" t="s">
        <v>26</v>
      </c>
      <c r="S6" s="106">
        <v>2026</v>
      </c>
      <c r="T6" s="109">
        <v>46295</v>
      </c>
      <c r="U6" s="110">
        <v>0.8</v>
      </c>
      <c r="V6" s="110"/>
      <c r="W6" s="111">
        <f t="shared" si="0"/>
        <v>0.8</v>
      </c>
      <c r="X6" s="110"/>
      <c r="Y6" s="110"/>
      <c r="Z6" s="110"/>
      <c r="AA6" s="112">
        <v>0.19800000000000001</v>
      </c>
      <c r="AB6" s="110">
        <v>0.19999999999999996</v>
      </c>
      <c r="AC6" s="113">
        <f t="shared" ref="AC6:AC69" si="10">AI6*AJ6</f>
        <v>139944.68482905981</v>
      </c>
      <c r="AD6" s="109"/>
      <c r="AE6" s="114">
        <f t="shared" si="1"/>
        <v>0</v>
      </c>
      <c r="AF6" s="112">
        <f t="shared" si="2"/>
        <v>0</v>
      </c>
      <c r="AG6" s="115">
        <f t="shared" si="3"/>
        <v>20.711813354700851</v>
      </c>
      <c r="AH6" s="114">
        <v>148</v>
      </c>
      <c r="AI6" s="114">
        <v>279.88936965811962</v>
      </c>
      <c r="AJ6" s="114">
        <v>500</v>
      </c>
      <c r="AK6" s="114">
        <v>500</v>
      </c>
      <c r="AL6" s="115">
        <f t="shared" si="4"/>
        <v>69.972342414529905</v>
      </c>
      <c r="AM6" s="115">
        <f t="shared" si="5"/>
        <v>55.977873931623925</v>
      </c>
      <c r="AN6" s="116">
        <f t="shared" si="6"/>
        <v>139944.68482905981</v>
      </c>
      <c r="AO6" s="116">
        <f t="shared" si="7"/>
        <v>41423.626709401702</v>
      </c>
      <c r="AP6" s="117">
        <f t="shared" si="8"/>
        <v>1</v>
      </c>
      <c r="AQ6" s="118">
        <f t="shared" si="9"/>
        <v>3.3783783783783785</v>
      </c>
      <c r="AR6" s="119" t="s">
        <v>783</v>
      </c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</row>
    <row r="7" spans="1:123">
      <c r="A7" s="248" t="s">
        <v>523</v>
      </c>
      <c r="B7" s="19" t="s">
        <v>316</v>
      </c>
      <c r="C7" s="21" t="s">
        <v>332</v>
      </c>
      <c r="D7" s="22">
        <v>1</v>
      </c>
      <c r="E7" s="23" t="s">
        <v>740</v>
      </c>
      <c r="F7" s="17"/>
      <c r="G7" s="24">
        <v>2770</v>
      </c>
      <c r="H7" s="17"/>
      <c r="I7" s="17"/>
      <c r="J7" s="25">
        <v>363</v>
      </c>
      <c r="K7" s="176" t="s">
        <v>548</v>
      </c>
      <c r="L7" s="176" t="s">
        <v>182</v>
      </c>
      <c r="M7" s="177" t="s">
        <v>579</v>
      </c>
      <c r="N7" s="190" t="s">
        <v>188</v>
      </c>
      <c r="O7" s="176" t="s">
        <v>760</v>
      </c>
      <c r="P7" s="149">
        <v>0</v>
      </c>
      <c r="Q7" s="178" t="s">
        <v>25</v>
      </c>
      <c r="R7" s="178" t="s">
        <v>26</v>
      </c>
      <c r="S7" s="177">
        <v>2026</v>
      </c>
      <c r="T7" s="179">
        <v>46387</v>
      </c>
      <c r="U7" s="180">
        <v>0.8</v>
      </c>
      <c r="V7" s="180"/>
      <c r="W7" s="181">
        <f t="shared" si="0"/>
        <v>0.8</v>
      </c>
      <c r="X7" s="180"/>
      <c r="Y7" s="180"/>
      <c r="Z7" s="180"/>
      <c r="AA7" s="182">
        <v>0.19800000000000001</v>
      </c>
      <c r="AB7" s="180">
        <v>0.19999999999999996</v>
      </c>
      <c r="AC7" s="113">
        <f t="shared" si="10"/>
        <v>141436.02345415778</v>
      </c>
      <c r="AD7" s="179"/>
      <c r="AE7" s="183">
        <f t="shared" si="1"/>
        <v>0</v>
      </c>
      <c r="AF7" s="182">
        <f t="shared" si="2"/>
        <v>0</v>
      </c>
      <c r="AG7" s="184">
        <f t="shared" si="3"/>
        <v>20.932531471215352</v>
      </c>
      <c r="AH7" s="183">
        <v>148</v>
      </c>
      <c r="AI7" s="183">
        <v>282.87204690831555</v>
      </c>
      <c r="AJ7" s="183">
        <v>500</v>
      </c>
      <c r="AK7" s="183">
        <v>500</v>
      </c>
      <c r="AL7" s="184">
        <f t="shared" si="4"/>
        <v>70.718011727078888</v>
      </c>
      <c r="AM7" s="184">
        <f t="shared" si="5"/>
        <v>56.574409381663116</v>
      </c>
      <c r="AN7" s="151">
        <f t="shared" si="6"/>
        <v>141436.02345415778</v>
      </c>
      <c r="AO7" s="151">
        <f t="shared" si="7"/>
        <v>41865.062942430704</v>
      </c>
      <c r="AP7" s="152">
        <f t="shared" si="8"/>
        <v>1</v>
      </c>
      <c r="AQ7" s="153">
        <f t="shared" si="9"/>
        <v>3.3783783783783781</v>
      </c>
      <c r="AR7" s="185" t="s">
        <v>783</v>
      </c>
    </row>
    <row r="8" spans="1:123" s="120" customFormat="1">
      <c r="A8" s="247" t="s">
        <v>439</v>
      </c>
      <c r="B8" s="103" t="s">
        <v>232</v>
      </c>
      <c r="C8" s="104" t="s">
        <v>397</v>
      </c>
      <c r="D8" s="33">
        <v>1</v>
      </c>
      <c r="E8" s="34" t="s">
        <v>740</v>
      </c>
      <c r="F8" s="35"/>
      <c r="G8" s="36">
        <v>2047</v>
      </c>
      <c r="H8" s="35"/>
      <c r="I8" s="35"/>
      <c r="J8" s="37">
        <v>196</v>
      </c>
      <c r="K8" s="105" t="s">
        <v>81</v>
      </c>
      <c r="L8" s="105" t="s">
        <v>84</v>
      </c>
      <c r="M8" s="106" t="s">
        <v>570</v>
      </c>
      <c r="N8" s="154" t="s">
        <v>85</v>
      </c>
      <c r="O8" s="105" t="s">
        <v>760</v>
      </c>
      <c r="P8" s="107">
        <v>0</v>
      </c>
      <c r="Q8" s="108" t="s">
        <v>73</v>
      </c>
      <c r="R8" s="108" t="s">
        <v>759</v>
      </c>
      <c r="S8" s="106">
        <v>2026</v>
      </c>
      <c r="T8" s="109">
        <v>46203</v>
      </c>
      <c r="U8" s="110">
        <v>0.50860000000000005</v>
      </c>
      <c r="V8" s="110">
        <v>0.36419999999999997</v>
      </c>
      <c r="W8" s="111">
        <f t="shared" si="0"/>
        <v>0.87280000000000002</v>
      </c>
      <c r="X8" s="110">
        <v>0.05</v>
      </c>
      <c r="Y8" s="110">
        <v>9.0000000000000011E-2</v>
      </c>
      <c r="Z8" s="110">
        <v>6.8000000000000005E-2</v>
      </c>
      <c r="AA8" s="112">
        <v>0.19800000000000001</v>
      </c>
      <c r="AB8" s="110">
        <v>0.12719999999999998</v>
      </c>
      <c r="AC8" s="113">
        <f t="shared" si="10"/>
        <v>160666.80000000002</v>
      </c>
      <c r="AD8" s="109"/>
      <c r="AE8" s="114">
        <f t="shared" si="1"/>
        <v>0</v>
      </c>
      <c r="AF8" s="112">
        <f t="shared" si="2"/>
        <v>0</v>
      </c>
      <c r="AG8" s="115">
        <f t="shared" si="3"/>
        <v>41.773367999999998</v>
      </c>
      <c r="AH8" s="114">
        <v>260</v>
      </c>
      <c r="AI8" s="114">
        <v>246.8</v>
      </c>
      <c r="AJ8" s="114">
        <v>651</v>
      </c>
      <c r="AK8" s="114">
        <v>1100</v>
      </c>
      <c r="AL8" s="115">
        <f t="shared" si="4"/>
        <v>176.73347999999999</v>
      </c>
      <c r="AM8" s="115">
        <f t="shared" si="5"/>
        <v>89.886647928000002</v>
      </c>
      <c r="AN8" s="116">
        <f t="shared" si="6"/>
        <v>271480</v>
      </c>
      <c r="AO8" s="116">
        <f t="shared" si="7"/>
        <v>64168</v>
      </c>
      <c r="AP8" s="117">
        <f t="shared" si="8"/>
        <v>0.63580000000000003</v>
      </c>
      <c r="AQ8" s="118">
        <f t="shared" si="9"/>
        <v>2.6899230769230771</v>
      </c>
      <c r="AR8" s="119" t="s">
        <v>783</v>
      </c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</row>
    <row r="9" spans="1:123" ht="13">
      <c r="A9" s="251" t="s">
        <v>439</v>
      </c>
      <c r="B9" s="190" t="s">
        <v>788</v>
      </c>
      <c r="C9" s="21"/>
      <c r="D9" s="22" t="s">
        <v>705</v>
      </c>
      <c r="E9" s="23" t="s">
        <v>740</v>
      </c>
      <c r="F9" s="17"/>
      <c r="G9" s="24"/>
      <c r="H9" s="17"/>
      <c r="I9" s="17"/>
      <c r="J9" s="25"/>
      <c r="K9" s="176" t="s">
        <v>81</v>
      </c>
      <c r="L9" s="176" t="s">
        <v>84</v>
      </c>
      <c r="M9" s="177" t="s">
        <v>570</v>
      </c>
      <c r="N9" s="190" t="s">
        <v>788</v>
      </c>
      <c r="O9" s="176" t="s">
        <v>760</v>
      </c>
      <c r="P9" s="149">
        <v>0</v>
      </c>
      <c r="Q9" s="178" t="s">
        <v>73</v>
      </c>
      <c r="R9" s="178" t="s">
        <v>759</v>
      </c>
      <c r="S9" s="177">
        <v>2026</v>
      </c>
      <c r="T9" s="179">
        <v>46203</v>
      </c>
      <c r="U9" s="180">
        <v>0.50860000000000005</v>
      </c>
      <c r="V9" s="180">
        <v>0.36419999999999997</v>
      </c>
      <c r="W9" s="181">
        <f t="shared" si="0"/>
        <v>0.87280000000000002</v>
      </c>
      <c r="X9" s="180">
        <v>0.05</v>
      </c>
      <c r="Y9" s="180">
        <v>9.0000000000000011E-2</v>
      </c>
      <c r="Z9" s="180">
        <v>6.8000000000000005E-2</v>
      </c>
      <c r="AA9" s="182">
        <v>0.19800000000000001</v>
      </c>
      <c r="AB9" s="180">
        <v>0.12719999999999998</v>
      </c>
      <c r="AC9" s="113">
        <f t="shared" si="10"/>
        <v>17948.599999999999</v>
      </c>
      <c r="AD9" s="179"/>
      <c r="AE9" s="183">
        <f t="shared" si="1"/>
        <v>0</v>
      </c>
      <c r="AF9" s="182">
        <f t="shared" si="2"/>
        <v>0</v>
      </c>
      <c r="AG9" s="184">
        <f t="shared" si="3"/>
        <v>4.6666359999999996</v>
      </c>
      <c r="AH9" s="183">
        <v>260</v>
      </c>
      <c r="AI9" s="183">
        <v>527.9</v>
      </c>
      <c r="AJ9" s="183">
        <v>34</v>
      </c>
      <c r="AK9" s="183">
        <v>1800</v>
      </c>
      <c r="AL9" s="184">
        <f t="shared" si="4"/>
        <v>32.307479999999998</v>
      </c>
      <c r="AM9" s="184">
        <f t="shared" si="5"/>
        <v>16.431584328</v>
      </c>
      <c r="AN9" s="151">
        <f t="shared" si="6"/>
        <v>950220</v>
      </c>
      <c r="AO9" s="151">
        <f t="shared" si="7"/>
        <v>137254</v>
      </c>
      <c r="AP9" s="152">
        <f t="shared" si="8"/>
        <v>0.63580000000000003</v>
      </c>
      <c r="AQ9" s="153">
        <f t="shared" si="9"/>
        <v>4.4016923076923078</v>
      </c>
      <c r="AR9" s="185" t="s">
        <v>783</v>
      </c>
    </row>
    <row r="10" spans="1:123" s="120" customFormat="1">
      <c r="A10" s="247" t="s">
        <v>440</v>
      </c>
      <c r="B10" s="103" t="s">
        <v>233</v>
      </c>
      <c r="C10" s="104" t="s">
        <v>398</v>
      </c>
      <c r="D10" s="33">
        <v>1</v>
      </c>
      <c r="E10" s="34" t="s">
        <v>740</v>
      </c>
      <c r="F10" s="35"/>
      <c r="G10" s="36">
        <v>2049</v>
      </c>
      <c r="H10" s="35"/>
      <c r="I10" s="35"/>
      <c r="J10" s="37">
        <v>197</v>
      </c>
      <c r="K10" s="105" t="s">
        <v>81</v>
      </c>
      <c r="L10" s="105" t="s">
        <v>86</v>
      </c>
      <c r="M10" s="106" t="s">
        <v>570</v>
      </c>
      <c r="N10" s="154" t="s">
        <v>46</v>
      </c>
      <c r="O10" s="105" t="s">
        <v>756</v>
      </c>
      <c r="P10" s="107">
        <v>1923793.08</v>
      </c>
      <c r="Q10" s="108" t="s">
        <v>25</v>
      </c>
      <c r="R10" s="108" t="s">
        <v>759</v>
      </c>
      <c r="S10" s="106">
        <v>2026</v>
      </c>
      <c r="T10" s="109">
        <v>46264</v>
      </c>
      <c r="U10" s="110">
        <v>0.8</v>
      </c>
      <c r="V10" s="110"/>
      <c r="W10" s="111">
        <f t="shared" si="0"/>
        <v>0.8</v>
      </c>
      <c r="X10" s="110"/>
      <c r="Y10" s="110"/>
      <c r="Z10" s="110"/>
      <c r="AA10" s="112">
        <v>0.19800000000000001</v>
      </c>
      <c r="AB10" s="110">
        <v>0.19999999999999996</v>
      </c>
      <c r="AC10" s="113">
        <f t="shared" si="10"/>
        <v>525997.68000000005</v>
      </c>
      <c r="AD10" s="109"/>
      <c r="AE10" s="114">
        <f t="shared" si="1"/>
        <v>1.92379308</v>
      </c>
      <c r="AF10" s="112">
        <f t="shared" si="2"/>
        <v>6.9007875931143704E-3</v>
      </c>
      <c r="AG10" s="115">
        <f t="shared" si="3"/>
        <v>63.119721600000005</v>
      </c>
      <c r="AH10" s="114">
        <v>120</v>
      </c>
      <c r="AI10" s="114">
        <v>164.58</v>
      </c>
      <c r="AJ10" s="114">
        <v>3196</v>
      </c>
      <c r="AK10" s="114">
        <v>530</v>
      </c>
      <c r="AL10" s="115">
        <f t="shared" si="4"/>
        <v>278.77877040000004</v>
      </c>
      <c r="AM10" s="115">
        <f t="shared" si="5"/>
        <v>223.02301632000004</v>
      </c>
      <c r="AN10" s="116">
        <f t="shared" si="6"/>
        <v>87227.400000000009</v>
      </c>
      <c r="AO10" s="116">
        <f t="shared" si="7"/>
        <v>19749.600000000002</v>
      </c>
      <c r="AP10" s="117">
        <f t="shared" si="8"/>
        <v>1</v>
      </c>
      <c r="AQ10" s="118">
        <f t="shared" si="9"/>
        <v>4.2860348456188317</v>
      </c>
      <c r="AR10" s="119" t="s">
        <v>783</v>
      </c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</row>
    <row r="11" spans="1:123">
      <c r="A11" s="248" t="s">
        <v>441</v>
      </c>
      <c r="B11" s="19" t="s">
        <v>236</v>
      </c>
      <c r="C11" s="21" t="s">
        <v>399</v>
      </c>
      <c r="D11" s="22">
        <v>1</v>
      </c>
      <c r="E11" s="23" t="s">
        <v>740</v>
      </c>
      <c r="F11" s="17"/>
      <c r="G11" s="24">
        <v>2048</v>
      </c>
      <c r="H11" s="17"/>
      <c r="I11" s="17"/>
      <c r="J11" s="25">
        <v>200</v>
      </c>
      <c r="K11" s="176" t="s">
        <v>81</v>
      </c>
      <c r="L11" s="176" t="s">
        <v>88</v>
      </c>
      <c r="M11" s="177" t="s">
        <v>570</v>
      </c>
      <c r="N11" s="190" t="s">
        <v>77</v>
      </c>
      <c r="O11" s="176" t="s">
        <v>756</v>
      </c>
      <c r="P11" s="149">
        <v>4000000</v>
      </c>
      <c r="Q11" s="178" t="s">
        <v>25</v>
      </c>
      <c r="R11" s="178" t="s">
        <v>759</v>
      </c>
      <c r="S11" s="177">
        <v>2026</v>
      </c>
      <c r="T11" s="179">
        <v>46203</v>
      </c>
      <c r="U11" s="180">
        <v>0.8</v>
      </c>
      <c r="V11" s="180"/>
      <c r="W11" s="181">
        <f t="shared" si="0"/>
        <v>0.8</v>
      </c>
      <c r="X11" s="180"/>
      <c r="Y11" s="180"/>
      <c r="Z11" s="180"/>
      <c r="AA11" s="182">
        <v>0.19800000000000001</v>
      </c>
      <c r="AB11" s="180">
        <v>0.19999999999999996</v>
      </c>
      <c r="AC11" s="113">
        <f t="shared" si="10"/>
        <v>117415.63999999998</v>
      </c>
      <c r="AD11" s="179"/>
      <c r="AE11" s="183">
        <f t="shared" si="1"/>
        <v>4</v>
      </c>
      <c r="AF11" s="182">
        <f t="shared" si="2"/>
        <v>7.9225608968237535E-2</v>
      </c>
      <c r="AG11" s="184">
        <f t="shared" si="3"/>
        <v>11.741564</v>
      </c>
      <c r="AH11" s="183">
        <v>100</v>
      </c>
      <c r="AI11" s="183">
        <v>207.81529203539822</v>
      </c>
      <c r="AJ11" s="183">
        <v>565</v>
      </c>
      <c r="AK11" s="183">
        <v>430</v>
      </c>
      <c r="AL11" s="184">
        <f t="shared" si="4"/>
        <v>50.488725199999998</v>
      </c>
      <c r="AM11" s="184">
        <f t="shared" si="5"/>
        <v>40.390980159999998</v>
      </c>
      <c r="AN11" s="151">
        <f t="shared" si="6"/>
        <v>89360.575575221228</v>
      </c>
      <c r="AO11" s="151">
        <f t="shared" si="7"/>
        <v>20781.529203539823</v>
      </c>
      <c r="AP11" s="152">
        <f t="shared" si="8"/>
        <v>1</v>
      </c>
      <c r="AQ11" s="153">
        <f t="shared" si="9"/>
        <v>3.2073512644613964</v>
      </c>
      <c r="AR11" s="185" t="s">
        <v>782</v>
      </c>
    </row>
    <row r="12" spans="1:123" s="120" customFormat="1">
      <c r="A12" s="247" t="s">
        <v>444</v>
      </c>
      <c r="B12" s="103" t="s">
        <v>239</v>
      </c>
      <c r="C12" s="104" t="s">
        <v>392</v>
      </c>
      <c r="D12" s="33">
        <v>1</v>
      </c>
      <c r="E12" s="34" t="s">
        <v>740</v>
      </c>
      <c r="F12" s="35"/>
      <c r="G12" s="36">
        <v>2053</v>
      </c>
      <c r="H12" s="35"/>
      <c r="I12" s="35"/>
      <c r="J12" s="37">
        <v>204</v>
      </c>
      <c r="K12" s="105" t="s">
        <v>93</v>
      </c>
      <c r="L12" s="105" t="s">
        <v>94</v>
      </c>
      <c r="M12" s="106" t="s">
        <v>571</v>
      </c>
      <c r="N12" s="154" t="s">
        <v>95</v>
      </c>
      <c r="O12" s="105" t="s">
        <v>756</v>
      </c>
      <c r="P12" s="107">
        <v>750000</v>
      </c>
      <c r="Q12" s="108" t="s">
        <v>25</v>
      </c>
      <c r="R12" s="108" t="s">
        <v>759</v>
      </c>
      <c r="S12" s="106">
        <v>2026</v>
      </c>
      <c r="T12" s="109">
        <v>46295</v>
      </c>
      <c r="U12" s="110">
        <v>0.72499999999999998</v>
      </c>
      <c r="V12" s="110">
        <v>0.27500000000000002</v>
      </c>
      <c r="W12" s="111">
        <f t="shared" si="0"/>
        <v>1</v>
      </c>
      <c r="X12" s="110">
        <v>0.05</v>
      </c>
      <c r="Y12" s="110">
        <v>0</v>
      </c>
      <c r="Z12" s="110">
        <v>6.8000000000000005E-2</v>
      </c>
      <c r="AA12" s="112">
        <v>0.19800000000000001</v>
      </c>
      <c r="AB12" s="110"/>
      <c r="AC12" s="113">
        <f t="shared" si="10"/>
        <v>188078</v>
      </c>
      <c r="AD12" s="109"/>
      <c r="AE12" s="114">
        <f t="shared" si="1"/>
        <v>0.75</v>
      </c>
      <c r="AF12" s="112">
        <f t="shared" si="2"/>
        <v>6.6461787130871232E-3</v>
      </c>
      <c r="AG12" s="115">
        <f t="shared" si="3"/>
        <v>22.56936</v>
      </c>
      <c r="AH12" s="114">
        <v>120</v>
      </c>
      <c r="AI12" s="114">
        <v>206</v>
      </c>
      <c r="AJ12" s="114">
        <v>913</v>
      </c>
      <c r="AK12" s="114">
        <v>600</v>
      </c>
      <c r="AL12" s="115">
        <f t="shared" si="4"/>
        <v>112.8468</v>
      </c>
      <c r="AM12" s="115">
        <f t="shared" si="5"/>
        <v>81.813929999999999</v>
      </c>
      <c r="AN12" s="116">
        <f t="shared" si="6"/>
        <v>123600</v>
      </c>
      <c r="AO12" s="116">
        <f t="shared" si="7"/>
        <v>24720</v>
      </c>
      <c r="AP12" s="117">
        <f t="shared" si="8"/>
        <v>0.72499999999999998</v>
      </c>
      <c r="AQ12" s="118">
        <f t="shared" si="9"/>
        <v>3.5084123234942983</v>
      </c>
      <c r="AR12" s="119" t="s">
        <v>783</v>
      </c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</row>
    <row r="13" spans="1:123">
      <c r="A13" s="248" t="s">
        <v>445</v>
      </c>
      <c r="B13" s="19" t="s">
        <v>240</v>
      </c>
      <c r="C13" s="21" t="s">
        <v>391</v>
      </c>
      <c r="D13" s="22">
        <v>1</v>
      </c>
      <c r="E13" s="23" t="s">
        <v>740</v>
      </c>
      <c r="F13" s="17"/>
      <c r="G13" s="24">
        <v>2054</v>
      </c>
      <c r="H13" s="17"/>
      <c r="I13" s="17"/>
      <c r="J13" s="25">
        <v>205</v>
      </c>
      <c r="K13" s="176" t="s">
        <v>93</v>
      </c>
      <c r="L13" s="176" t="s">
        <v>96</v>
      </c>
      <c r="M13" s="177" t="s">
        <v>571</v>
      </c>
      <c r="N13" s="190" t="s">
        <v>95</v>
      </c>
      <c r="O13" s="176" t="s">
        <v>756</v>
      </c>
      <c r="P13" s="149">
        <v>750000</v>
      </c>
      <c r="Q13" s="178" t="s">
        <v>25</v>
      </c>
      <c r="R13" s="178" t="s">
        <v>759</v>
      </c>
      <c r="S13" s="177">
        <v>2026</v>
      </c>
      <c r="T13" s="179">
        <v>46295</v>
      </c>
      <c r="U13" s="180">
        <v>0.8</v>
      </c>
      <c r="V13" s="180">
        <v>0.19999999999999996</v>
      </c>
      <c r="W13" s="181">
        <f t="shared" si="0"/>
        <v>1</v>
      </c>
      <c r="X13" s="180">
        <v>0.05</v>
      </c>
      <c r="Y13" s="180">
        <v>0</v>
      </c>
      <c r="Z13" s="180">
        <v>6.8000000000000005E-2</v>
      </c>
      <c r="AA13" s="182">
        <v>0.19800000000000001</v>
      </c>
      <c r="AB13" s="180"/>
      <c r="AC13" s="113">
        <f t="shared" si="10"/>
        <v>186384</v>
      </c>
      <c r="AD13" s="179"/>
      <c r="AE13" s="183">
        <f t="shared" si="1"/>
        <v>0.75</v>
      </c>
      <c r="AF13" s="182">
        <f t="shared" si="2"/>
        <v>8.0479011073911928E-3</v>
      </c>
      <c r="AG13" s="184">
        <f t="shared" si="3"/>
        <v>24.789072000000001</v>
      </c>
      <c r="AH13" s="183">
        <v>133</v>
      </c>
      <c r="AI13" s="183">
        <v>176</v>
      </c>
      <c r="AJ13" s="183">
        <v>1059</v>
      </c>
      <c r="AK13" s="183">
        <v>500</v>
      </c>
      <c r="AL13" s="184">
        <f t="shared" si="4"/>
        <v>93.191999999999993</v>
      </c>
      <c r="AM13" s="184">
        <f t="shared" si="5"/>
        <v>74.553600000000003</v>
      </c>
      <c r="AN13" s="151">
        <f t="shared" si="6"/>
        <v>88000</v>
      </c>
      <c r="AO13" s="151">
        <f t="shared" si="7"/>
        <v>23408</v>
      </c>
      <c r="AP13" s="152">
        <f t="shared" si="8"/>
        <v>0.8</v>
      </c>
      <c r="AQ13" s="153">
        <f t="shared" si="9"/>
        <v>2.9191976905033981</v>
      </c>
      <c r="AR13" s="185" t="s">
        <v>783</v>
      </c>
    </row>
    <row r="14" spans="1:123" s="120" customFormat="1">
      <c r="A14" s="247" t="s">
        <v>447</v>
      </c>
      <c r="B14" s="103" t="s">
        <v>244</v>
      </c>
      <c r="C14" s="104" t="s">
        <v>389</v>
      </c>
      <c r="D14" s="33">
        <v>1</v>
      </c>
      <c r="E14" s="34" t="s">
        <v>740</v>
      </c>
      <c r="F14" s="35" t="s">
        <v>541</v>
      </c>
      <c r="G14" s="36">
        <v>2052</v>
      </c>
      <c r="H14" s="35"/>
      <c r="I14" s="35"/>
      <c r="J14" s="37">
        <v>209</v>
      </c>
      <c r="K14" s="105" t="s">
        <v>93</v>
      </c>
      <c r="L14" s="105" t="s">
        <v>101</v>
      </c>
      <c r="M14" s="106" t="s">
        <v>580</v>
      </c>
      <c r="N14" s="154" t="s">
        <v>539</v>
      </c>
      <c r="O14" s="105" t="s">
        <v>760</v>
      </c>
      <c r="P14" s="107">
        <v>0</v>
      </c>
      <c r="Q14" s="108" t="s">
        <v>25</v>
      </c>
      <c r="R14" s="108" t="s">
        <v>759</v>
      </c>
      <c r="S14" s="106">
        <v>2026</v>
      </c>
      <c r="T14" s="109">
        <v>46387</v>
      </c>
      <c r="U14" s="110">
        <v>0.8</v>
      </c>
      <c r="V14" s="110">
        <v>0.19999999999999996</v>
      </c>
      <c r="W14" s="111">
        <f t="shared" si="0"/>
        <v>1</v>
      </c>
      <c r="X14" s="110">
        <v>0.05</v>
      </c>
      <c r="Y14" s="110">
        <v>0</v>
      </c>
      <c r="Z14" s="110">
        <v>6.8000000000000005E-2</v>
      </c>
      <c r="AA14" s="112">
        <v>0.19800000000000001</v>
      </c>
      <c r="AB14" s="110"/>
      <c r="AC14" s="113">
        <f t="shared" si="10"/>
        <v>306340</v>
      </c>
      <c r="AD14" s="109"/>
      <c r="AE14" s="114">
        <f t="shared" si="1"/>
        <v>0</v>
      </c>
      <c r="AF14" s="112">
        <f t="shared" si="2"/>
        <v>0</v>
      </c>
      <c r="AG14" s="115">
        <f t="shared" si="3"/>
        <v>36.760800000000003</v>
      </c>
      <c r="AH14" s="114">
        <v>120</v>
      </c>
      <c r="AI14" s="114">
        <v>265</v>
      </c>
      <c r="AJ14" s="114">
        <v>1156</v>
      </c>
      <c r="AK14" s="114">
        <v>500</v>
      </c>
      <c r="AL14" s="115">
        <f t="shared" si="4"/>
        <v>153.16999999999999</v>
      </c>
      <c r="AM14" s="115">
        <f t="shared" si="5"/>
        <v>122.536</v>
      </c>
      <c r="AN14" s="116">
        <f t="shared" si="6"/>
        <v>132500</v>
      </c>
      <c r="AO14" s="116">
        <f t="shared" si="7"/>
        <v>31800</v>
      </c>
      <c r="AP14" s="117">
        <f t="shared" si="8"/>
        <v>0.8</v>
      </c>
      <c r="AQ14" s="118">
        <f t="shared" si="9"/>
        <v>3.333333333333333</v>
      </c>
      <c r="AR14" s="119" t="s">
        <v>783</v>
      </c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</row>
    <row r="15" spans="1:123">
      <c r="A15" s="248" t="s">
        <v>417</v>
      </c>
      <c r="B15" s="19" t="s">
        <v>192</v>
      </c>
      <c r="C15" s="21" t="s">
        <v>320</v>
      </c>
      <c r="D15" s="22">
        <v>1</v>
      </c>
      <c r="E15" s="23" t="s">
        <v>740</v>
      </c>
      <c r="F15" s="17"/>
      <c r="G15" s="24">
        <v>2121</v>
      </c>
      <c r="H15" s="17"/>
      <c r="I15" s="17"/>
      <c r="J15" s="25">
        <v>147</v>
      </c>
      <c r="K15" s="176" t="s">
        <v>22</v>
      </c>
      <c r="L15" s="176" t="s">
        <v>39</v>
      </c>
      <c r="M15" s="177" t="s">
        <v>567</v>
      </c>
      <c r="N15" s="190" t="s">
        <v>46</v>
      </c>
      <c r="O15" s="176" t="s">
        <v>761</v>
      </c>
      <c r="P15" s="186">
        <v>4800000</v>
      </c>
      <c r="Q15" s="178" t="s">
        <v>25</v>
      </c>
      <c r="R15" s="178" t="s">
        <v>759</v>
      </c>
      <c r="S15" s="177">
        <v>2026</v>
      </c>
      <c r="T15" s="179">
        <v>46387</v>
      </c>
      <c r="U15" s="180">
        <v>1</v>
      </c>
      <c r="V15" s="180"/>
      <c r="W15" s="181">
        <f t="shared" si="0"/>
        <v>1</v>
      </c>
      <c r="X15" s="180"/>
      <c r="Y15" s="180"/>
      <c r="Z15" s="180"/>
      <c r="AA15" s="182">
        <v>0.19800000000000001</v>
      </c>
      <c r="AB15" s="180"/>
      <c r="AC15" s="113">
        <f t="shared" si="10"/>
        <v>538153.28999999992</v>
      </c>
      <c r="AD15" s="179"/>
      <c r="AE15" s="183">
        <f t="shared" si="1"/>
        <v>4.8</v>
      </c>
      <c r="AF15" s="182">
        <f t="shared" si="2"/>
        <v>1.3722141110789053E-2</v>
      </c>
      <c r="AG15" s="184">
        <f t="shared" si="3"/>
        <v>71.628202899000001</v>
      </c>
      <c r="AH15" s="183">
        <v>133.1</v>
      </c>
      <c r="AI15" s="183">
        <v>279.27</v>
      </c>
      <c r="AJ15" s="183">
        <v>1927</v>
      </c>
      <c r="AK15" s="183">
        <v>650</v>
      </c>
      <c r="AL15" s="184">
        <f t="shared" si="4"/>
        <v>349.79963850000001</v>
      </c>
      <c r="AM15" s="184">
        <f t="shared" si="5"/>
        <v>349.79963850000001</v>
      </c>
      <c r="AN15" s="151">
        <f t="shared" si="6"/>
        <v>181525.5</v>
      </c>
      <c r="AO15" s="151">
        <f t="shared" si="7"/>
        <v>37170.837</v>
      </c>
      <c r="AP15" s="152">
        <f t="shared" si="8"/>
        <v>1</v>
      </c>
      <c r="AQ15" s="153">
        <f t="shared" si="9"/>
        <v>4.5768397689824116</v>
      </c>
      <c r="AR15" s="185" t="s">
        <v>783</v>
      </c>
    </row>
    <row r="16" spans="1:123" s="120" customFormat="1">
      <c r="A16" s="247" t="s">
        <v>425</v>
      </c>
      <c r="B16" s="103" t="s">
        <v>196</v>
      </c>
      <c r="C16" s="104" t="s">
        <v>323</v>
      </c>
      <c r="D16" s="33">
        <v>1</v>
      </c>
      <c r="E16" s="34" t="s">
        <v>740</v>
      </c>
      <c r="F16" s="35"/>
      <c r="G16" s="36">
        <v>2118</v>
      </c>
      <c r="H16" s="35"/>
      <c r="I16" s="35"/>
      <c r="J16" s="37">
        <v>152</v>
      </c>
      <c r="K16" s="105" t="s">
        <v>22</v>
      </c>
      <c r="L16" s="105" t="s">
        <v>42</v>
      </c>
      <c r="M16" s="106" t="s">
        <v>567</v>
      </c>
      <c r="N16" s="154" t="s">
        <v>43</v>
      </c>
      <c r="O16" s="105" t="s">
        <v>756</v>
      </c>
      <c r="P16" s="107">
        <v>13000000</v>
      </c>
      <c r="Q16" s="108" t="s">
        <v>25</v>
      </c>
      <c r="R16" s="108" t="s">
        <v>759</v>
      </c>
      <c r="S16" s="106">
        <v>2026</v>
      </c>
      <c r="T16" s="109">
        <v>46387</v>
      </c>
      <c r="U16" s="110">
        <v>1</v>
      </c>
      <c r="V16" s="110"/>
      <c r="W16" s="111">
        <f t="shared" si="0"/>
        <v>1</v>
      </c>
      <c r="X16" s="110"/>
      <c r="Y16" s="110"/>
      <c r="Z16" s="110"/>
      <c r="AA16" s="112">
        <v>0.19800000000000001</v>
      </c>
      <c r="AB16" s="110"/>
      <c r="AC16" s="113">
        <f t="shared" si="10"/>
        <v>195570.85</v>
      </c>
      <c r="AD16" s="109"/>
      <c r="AE16" s="114">
        <f t="shared" si="1"/>
        <v>13</v>
      </c>
      <c r="AF16" s="112">
        <f t="shared" si="2"/>
        <v>0.15458621844479831</v>
      </c>
      <c r="AG16" s="115">
        <f t="shared" si="3"/>
        <v>26.030480134999998</v>
      </c>
      <c r="AH16" s="114">
        <v>133.1</v>
      </c>
      <c r="AI16" s="114">
        <v>210.9717907227616</v>
      </c>
      <c r="AJ16" s="114">
        <v>927</v>
      </c>
      <c r="AK16" s="114">
        <v>430</v>
      </c>
      <c r="AL16" s="115">
        <f t="shared" si="4"/>
        <v>84.095465500000003</v>
      </c>
      <c r="AM16" s="115">
        <f t="shared" si="5"/>
        <v>84.095465500000003</v>
      </c>
      <c r="AN16" s="116">
        <f t="shared" si="6"/>
        <v>90717.87001078749</v>
      </c>
      <c r="AO16" s="116">
        <f t="shared" si="7"/>
        <v>28080.345345199567</v>
      </c>
      <c r="AP16" s="117">
        <f t="shared" si="8"/>
        <v>1</v>
      </c>
      <c r="AQ16" s="118">
        <f t="shared" si="9"/>
        <v>2.1546100690826155</v>
      </c>
      <c r="AR16" s="119" t="s">
        <v>783</v>
      </c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</row>
    <row r="17" spans="1:123">
      <c r="A17" s="248" t="s">
        <v>509</v>
      </c>
      <c r="B17" s="19" t="s">
        <v>291</v>
      </c>
      <c r="C17" s="21" t="s">
        <v>342</v>
      </c>
      <c r="D17" s="22">
        <v>1</v>
      </c>
      <c r="E17" s="23" t="s">
        <v>740</v>
      </c>
      <c r="F17" s="17"/>
      <c r="G17" s="24">
        <v>1865</v>
      </c>
      <c r="H17" s="17"/>
      <c r="I17" s="17"/>
      <c r="J17" s="25">
        <v>336</v>
      </c>
      <c r="K17" s="176" t="s">
        <v>159</v>
      </c>
      <c r="L17" s="176" t="s">
        <v>164</v>
      </c>
      <c r="M17" s="177" t="s">
        <v>577</v>
      </c>
      <c r="N17" s="190" t="s">
        <v>118</v>
      </c>
      <c r="O17" s="176" t="s">
        <v>760</v>
      </c>
      <c r="P17" s="149">
        <v>0</v>
      </c>
      <c r="Q17" s="178" t="s">
        <v>25</v>
      </c>
      <c r="R17" s="178" t="s">
        <v>759</v>
      </c>
      <c r="S17" s="177">
        <v>2026</v>
      </c>
      <c r="T17" s="179">
        <v>46295</v>
      </c>
      <c r="U17" s="180">
        <v>0.81</v>
      </c>
      <c r="V17" s="180">
        <v>0.18999999999999995</v>
      </c>
      <c r="W17" s="181">
        <f t="shared" si="0"/>
        <v>1</v>
      </c>
      <c r="X17" s="180">
        <v>0.05</v>
      </c>
      <c r="Y17" s="180">
        <v>0</v>
      </c>
      <c r="Z17" s="180">
        <v>6.8000000000000005E-2</v>
      </c>
      <c r="AA17" s="182">
        <v>0.19800000000000001</v>
      </c>
      <c r="AB17" s="180"/>
      <c r="AC17" s="113">
        <f t="shared" si="10"/>
        <v>338165</v>
      </c>
      <c r="AD17" s="179"/>
      <c r="AE17" s="183">
        <f t="shared" si="1"/>
        <v>0</v>
      </c>
      <c r="AF17" s="182">
        <f t="shared" si="2"/>
        <v>0</v>
      </c>
      <c r="AG17" s="184">
        <f t="shared" si="3"/>
        <v>44.975945000000003</v>
      </c>
      <c r="AH17" s="183">
        <v>133</v>
      </c>
      <c r="AI17" s="183">
        <v>235</v>
      </c>
      <c r="AJ17" s="183">
        <v>1439</v>
      </c>
      <c r="AK17" s="183">
        <v>450</v>
      </c>
      <c r="AL17" s="184">
        <f t="shared" si="4"/>
        <v>152.17425</v>
      </c>
      <c r="AM17" s="184">
        <f t="shared" si="5"/>
        <v>123.26114250000001</v>
      </c>
      <c r="AN17" s="151">
        <f t="shared" si="6"/>
        <v>105750</v>
      </c>
      <c r="AO17" s="151">
        <f t="shared" si="7"/>
        <v>31255</v>
      </c>
      <c r="AP17" s="152">
        <f t="shared" si="8"/>
        <v>0.81</v>
      </c>
      <c r="AQ17" s="153">
        <f t="shared" si="9"/>
        <v>2.7406015037593985</v>
      </c>
      <c r="AR17" s="185" t="s">
        <v>783</v>
      </c>
    </row>
    <row r="18" spans="1:123" s="120" customFormat="1">
      <c r="A18" s="247" t="s">
        <v>455</v>
      </c>
      <c r="B18" s="103" t="s">
        <v>255</v>
      </c>
      <c r="C18" s="104" t="s">
        <v>383</v>
      </c>
      <c r="D18" s="33">
        <v>1</v>
      </c>
      <c r="E18" s="34" t="s">
        <v>740</v>
      </c>
      <c r="F18" s="35"/>
      <c r="G18" s="36">
        <v>2274</v>
      </c>
      <c r="H18" s="35"/>
      <c r="I18" s="35"/>
      <c r="J18" s="37">
        <v>224</v>
      </c>
      <c r="K18" s="105" t="s">
        <v>103</v>
      </c>
      <c r="L18" s="105" t="s">
        <v>112</v>
      </c>
      <c r="M18" s="106" t="s">
        <v>574</v>
      </c>
      <c r="N18" s="154" t="s">
        <v>113</v>
      </c>
      <c r="O18" s="105" t="s">
        <v>757</v>
      </c>
      <c r="P18" s="107">
        <v>166666.66</v>
      </c>
      <c r="Q18" s="108" t="s">
        <v>73</v>
      </c>
      <c r="R18" s="108" t="s">
        <v>26</v>
      </c>
      <c r="S18" s="106">
        <v>2026</v>
      </c>
      <c r="T18" s="109">
        <v>46295</v>
      </c>
      <c r="U18" s="110">
        <v>0.64168999999999998</v>
      </c>
      <c r="V18" s="110">
        <v>0.30000000000000004</v>
      </c>
      <c r="W18" s="111">
        <f t="shared" si="0"/>
        <v>0.94169000000000003</v>
      </c>
      <c r="X18" s="110">
        <v>0.05</v>
      </c>
      <c r="Y18" s="110">
        <v>0</v>
      </c>
      <c r="Z18" s="110">
        <v>6.8000000000000005E-2</v>
      </c>
      <c r="AA18" s="112">
        <v>0.19800000000000001</v>
      </c>
      <c r="AB18" s="110">
        <v>5.8309999999999973E-2</v>
      </c>
      <c r="AC18" s="113">
        <f t="shared" si="10"/>
        <v>220580</v>
      </c>
      <c r="AD18" s="109"/>
      <c r="AE18" s="114">
        <f t="shared" si="1"/>
        <v>0.16666665999999999</v>
      </c>
      <c r="AF18" s="112">
        <f t="shared" si="2"/>
        <v>9.4447966724091033E-4</v>
      </c>
      <c r="AG18" s="115">
        <f t="shared" si="3"/>
        <v>39.7044</v>
      </c>
      <c r="AH18" s="114">
        <v>180</v>
      </c>
      <c r="AI18" s="114">
        <v>410</v>
      </c>
      <c r="AJ18" s="114">
        <v>538</v>
      </c>
      <c r="AK18" s="114">
        <v>800</v>
      </c>
      <c r="AL18" s="115">
        <f t="shared" si="4"/>
        <v>176.464</v>
      </c>
      <c r="AM18" s="115">
        <f t="shared" si="5"/>
        <v>113.23518416</v>
      </c>
      <c r="AN18" s="116">
        <f t="shared" si="6"/>
        <v>328000</v>
      </c>
      <c r="AO18" s="116">
        <f t="shared" si="7"/>
        <v>73800</v>
      </c>
      <c r="AP18" s="117">
        <f t="shared" si="8"/>
        <v>0.7</v>
      </c>
      <c r="AQ18" s="118">
        <f t="shared" si="9"/>
        <v>3.0981062295964166</v>
      </c>
      <c r="AR18" s="119" t="s">
        <v>783</v>
      </c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</row>
    <row r="19" spans="1:123">
      <c r="A19" s="248" t="s">
        <v>473</v>
      </c>
      <c r="B19" s="19" t="s">
        <v>275</v>
      </c>
      <c r="C19" s="21" t="s">
        <v>370</v>
      </c>
      <c r="D19" s="22">
        <v>1</v>
      </c>
      <c r="E19" s="23" t="s">
        <v>740</v>
      </c>
      <c r="F19" s="17"/>
      <c r="G19" s="24">
        <v>2270</v>
      </c>
      <c r="H19" s="17"/>
      <c r="I19" s="17"/>
      <c r="J19" s="25">
        <v>262</v>
      </c>
      <c r="K19" s="176" t="s">
        <v>103</v>
      </c>
      <c r="L19" s="176" t="s">
        <v>134</v>
      </c>
      <c r="M19" s="177" t="s">
        <v>583</v>
      </c>
      <c r="N19" s="190" t="s">
        <v>135</v>
      </c>
      <c r="O19" s="176" t="s">
        <v>760</v>
      </c>
      <c r="P19" s="149">
        <v>0</v>
      </c>
      <c r="Q19" s="178" t="s">
        <v>25</v>
      </c>
      <c r="R19" s="178" t="s">
        <v>759</v>
      </c>
      <c r="S19" s="177">
        <v>2026</v>
      </c>
      <c r="T19" s="179">
        <v>46295</v>
      </c>
      <c r="U19" s="180">
        <v>0.64170000000000005</v>
      </c>
      <c r="V19" s="180">
        <v>0.30000000000000004</v>
      </c>
      <c r="W19" s="181">
        <f t="shared" si="0"/>
        <v>0.94170000000000009</v>
      </c>
      <c r="X19" s="180">
        <v>0.05</v>
      </c>
      <c r="Y19" s="180">
        <v>9.0000000000000011E-2</v>
      </c>
      <c r="Z19" s="180">
        <v>6.8000000000000005E-2</v>
      </c>
      <c r="AA19" s="182">
        <v>0.19800000000000001</v>
      </c>
      <c r="AB19" s="180">
        <v>5.8299999999999907E-2</v>
      </c>
      <c r="AC19" s="113">
        <f t="shared" si="10"/>
        <v>132640.20000000001</v>
      </c>
      <c r="AD19" s="179"/>
      <c r="AE19" s="183">
        <f t="shared" si="1"/>
        <v>0</v>
      </c>
      <c r="AF19" s="182">
        <f t="shared" si="2"/>
        <v>0</v>
      </c>
      <c r="AG19" s="184">
        <f t="shared" si="3"/>
        <v>21.6203526</v>
      </c>
      <c r="AH19" s="183">
        <v>163</v>
      </c>
      <c r="AI19" s="183">
        <v>219.24</v>
      </c>
      <c r="AJ19" s="183">
        <v>605</v>
      </c>
      <c r="AK19" s="183">
        <v>600</v>
      </c>
      <c r="AL19" s="184">
        <f t="shared" si="4"/>
        <v>79.584119999999999</v>
      </c>
      <c r="AM19" s="184">
        <f t="shared" si="5"/>
        <v>51.069129804000006</v>
      </c>
      <c r="AN19" s="151">
        <f t="shared" si="6"/>
        <v>131544</v>
      </c>
      <c r="AO19" s="151">
        <f t="shared" si="7"/>
        <v>35736.120000000003</v>
      </c>
      <c r="AP19" s="152">
        <f t="shared" si="8"/>
        <v>0.7</v>
      </c>
      <c r="AQ19" s="153">
        <f t="shared" si="9"/>
        <v>2.576687116564417</v>
      </c>
      <c r="AR19" s="185" t="s">
        <v>783</v>
      </c>
    </row>
    <row r="20" spans="1:123" s="120" customFormat="1">
      <c r="A20" s="247" t="s">
        <v>484</v>
      </c>
      <c r="B20" s="103" t="s">
        <v>672</v>
      </c>
      <c r="C20" s="104" t="s">
        <v>361</v>
      </c>
      <c r="D20" s="33">
        <v>1</v>
      </c>
      <c r="E20" s="34" t="s">
        <v>740</v>
      </c>
      <c r="F20" s="35"/>
      <c r="G20" s="36">
        <v>2381</v>
      </c>
      <c r="H20" s="35"/>
      <c r="I20" s="35"/>
      <c r="J20" s="37">
        <v>290</v>
      </c>
      <c r="K20" s="105" t="s">
        <v>143</v>
      </c>
      <c r="L20" s="105" t="s">
        <v>146</v>
      </c>
      <c r="M20" s="106" t="s">
        <v>575</v>
      </c>
      <c r="N20" s="154" t="s">
        <v>620</v>
      </c>
      <c r="O20" s="105" t="s">
        <v>760</v>
      </c>
      <c r="P20" s="107">
        <v>0</v>
      </c>
      <c r="Q20" s="108" t="s">
        <v>25</v>
      </c>
      <c r="R20" s="108" t="s">
        <v>759</v>
      </c>
      <c r="S20" s="106">
        <v>2026</v>
      </c>
      <c r="T20" s="109">
        <v>46387</v>
      </c>
      <c r="U20" s="110">
        <v>0.32800000000000001</v>
      </c>
      <c r="V20" s="110">
        <v>0.18</v>
      </c>
      <c r="W20" s="111">
        <f t="shared" si="0"/>
        <v>0.50800000000000001</v>
      </c>
      <c r="X20" s="110">
        <v>7.0000000000000007E-2</v>
      </c>
      <c r="Y20" s="110">
        <v>7.0000000000000007E-2</v>
      </c>
      <c r="Z20" s="110">
        <v>6.8000000000000005E-2</v>
      </c>
      <c r="AA20" s="112">
        <v>0.19800000000000001</v>
      </c>
      <c r="AB20" s="110">
        <v>0.49199999999999999</v>
      </c>
      <c r="AC20" s="113">
        <f t="shared" si="10"/>
        <v>91258</v>
      </c>
      <c r="AD20" s="109"/>
      <c r="AE20" s="114">
        <f t="shared" si="1"/>
        <v>0</v>
      </c>
      <c r="AF20" s="112">
        <f t="shared" si="2"/>
        <v>0</v>
      </c>
      <c r="AG20" s="115">
        <f t="shared" si="3"/>
        <v>15.97015</v>
      </c>
      <c r="AH20" s="114">
        <v>175</v>
      </c>
      <c r="AI20" s="114">
        <v>206</v>
      </c>
      <c r="AJ20" s="114">
        <v>443</v>
      </c>
      <c r="AK20" s="114">
        <v>750</v>
      </c>
      <c r="AL20" s="115">
        <f t="shared" si="4"/>
        <v>68.4435</v>
      </c>
      <c r="AM20" s="115">
        <f t="shared" si="5"/>
        <v>22.449468</v>
      </c>
      <c r="AN20" s="116">
        <f t="shared" si="6"/>
        <v>154500</v>
      </c>
      <c r="AO20" s="116">
        <f t="shared" si="7"/>
        <v>36050</v>
      </c>
      <c r="AP20" s="117">
        <f t="shared" si="8"/>
        <v>0.82000000000000006</v>
      </c>
      <c r="AQ20" s="118">
        <f t="shared" si="9"/>
        <v>3.5142857142857147</v>
      </c>
      <c r="AR20" s="119" t="s">
        <v>783</v>
      </c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</row>
    <row r="21" spans="1:123">
      <c r="A21" s="248" t="s">
        <v>527</v>
      </c>
      <c r="B21" s="19" t="s">
        <v>675</v>
      </c>
      <c r="C21" s="21" t="s">
        <v>360</v>
      </c>
      <c r="D21" s="22">
        <v>1</v>
      </c>
      <c r="E21" s="23" t="s">
        <v>740</v>
      </c>
      <c r="F21" s="17"/>
      <c r="G21" s="24">
        <v>2394</v>
      </c>
      <c r="H21" s="17"/>
      <c r="I21" s="17"/>
      <c r="J21" s="25">
        <v>293</v>
      </c>
      <c r="K21" s="176" t="s">
        <v>143</v>
      </c>
      <c r="L21" s="176" t="s">
        <v>147</v>
      </c>
      <c r="M21" s="177" t="s">
        <v>575</v>
      </c>
      <c r="N21" s="190" t="s">
        <v>607</v>
      </c>
      <c r="O21" s="176" t="s">
        <v>760</v>
      </c>
      <c r="P21" s="149">
        <v>0</v>
      </c>
      <c r="Q21" s="178" t="s">
        <v>25</v>
      </c>
      <c r="R21" s="178" t="s">
        <v>759</v>
      </c>
      <c r="S21" s="177">
        <v>2026</v>
      </c>
      <c r="T21" s="179">
        <v>46295</v>
      </c>
      <c r="U21" s="180">
        <v>0.54400000000000004</v>
      </c>
      <c r="V21" s="180">
        <v>0.31999999999999995</v>
      </c>
      <c r="W21" s="181">
        <f t="shared" si="0"/>
        <v>0.86399999999999999</v>
      </c>
      <c r="X21" s="180">
        <v>7.0000000000000007E-2</v>
      </c>
      <c r="Y21" s="180">
        <v>9.5000000000000001E-2</v>
      </c>
      <c r="Z21" s="180">
        <v>6.8000000000000005E-2</v>
      </c>
      <c r="AA21" s="182">
        <v>0.19800000000000001</v>
      </c>
      <c r="AB21" s="180">
        <v>0.13600000000000001</v>
      </c>
      <c r="AC21" s="113">
        <f t="shared" si="10"/>
        <v>103037</v>
      </c>
      <c r="AD21" s="179"/>
      <c r="AE21" s="183">
        <f t="shared" si="1"/>
        <v>0</v>
      </c>
      <c r="AF21" s="182">
        <f t="shared" si="2"/>
        <v>0</v>
      </c>
      <c r="AG21" s="184">
        <f t="shared" si="3"/>
        <v>18.031475</v>
      </c>
      <c r="AH21" s="183">
        <v>175</v>
      </c>
      <c r="AI21" s="183">
        <v>323</v>
      </c>
      <c r="AJ21" s="183">
        <v>319</v>
      </c>
      <c r="AK21" s="183">
        <v>700</v>
      </c>
      <c r="AL21" s="184">
        <f t="shared" si="4"/>
        <v>72.125900000000001</v>
      </c>
      <c r="AM21" s="184">
        <f t="shared" si="5"/>
        <v>39.236489600000006</v>
      </c>
      <c r="AN21" s="151">
        <f t="shared" si="6"/>
        <v>226100</v>
      </c>
      <c r="AO21" s="151">
        <f t="shared" si="7"/>
        <v>56525</v>
      </c>
      <c r="AP21" s="152">
        <f t="shared" si="8"/>
        <v>0.68</v>
      </c>
      <c r="AQ21" s="153">
        <f t="shared" si="9"/>
        <v>2.72</v>
      </c>
      <c r="AR21" s="185" t="s">
        <v>783</v>
      </c>
    </row>
    <row r="22" spans="1:123" s="120" customFormat="1">
      <c r="A22" s="247" t="s">
        <v>485</v>
      </c>
      <c r="B22" s="103" t="s">
        <v>676</v>
      </c>
      <c r="C22" s="104" t="s">
        <v>359</v>
      </c>
      <c r="D22" s="33">
        <v>1</v>
      </c>
      <c r="E22" s="34" t="s">
        <v>740</v>
      </c>
      <c r="F22" s="35"/>
      <c r="G22" s="36">
        <v>2387</v>
      </c>
      <c r="H22" s="35"/>
      <c r="I22" s="35"/>
      <c r="J22" s="37">
        <v>295</v>
      </c>
      <c r="K22" s="105" t="s">
        <v>143</v>
      </c>
      <c r="L22" s="105" t="s">
        <v>148</v>
      </c>
      <c r="M22" s="106" t="s">
        <v>575</v>
      </c>
      <c r="N22" s="154" t="s">
        <v>617</v>
      </c>
      <c r="O22" s="105" t="s">
        <v>757</v>
      </c>
      <c r="P22" s="107">
        <v>2215500</v>
      </c>
      <c r="Q22" s="108" t="s">
        <v>25</v>
      </c>
      <c r="R22" s="108" t="s">
        <v>759</v>
      </c>
      <c r="S22" s="106">
        <v>2026</v>
      </c>
      <c r="T22" s="109">
        <v>46203</v>
      </c>
      <c r="U22" s="110">
        <v>0.55600000000000005</v>
      </c>
      <c r="V22" s="110">
        <v>0.30499999999999994</v>
      </c>
      <c r="W22" s="111">
        <f t="shared" si="0"/>
        <v>0.86099999999999999</v>
      </c>
      <c r="X22" s="110">
        <v>7.0000000000000007E-2</v>
      </c>
      <c r="Y22" s="110">
        <v>0</v>
      </c>
      <c r="Z22" s="110">
        <v>6.8000000000000005E-2</v>
      </c>
      <c r="AA22" s="112">
        <v>0.19800000000000001</v>
      </c>
      <c r="AB22" s="110">
        <v>0.13900000000000001</v>
      </c>
      <c r="AC22" s="113">
        <f t="shared" si="10"/>
        <v>130830</v>
      </c>
      <c r="AD22" s="109"/>
      <c r="AE22" s="114">
        <f t="shared" si="1"/>
        <v>2.2155</v>
      </c>
      <c r="AF22" s="112">
        <f t="shared" si="2"/>
        <v>2.1167736757624397E-2</v>
      </c>
      <c r="AG22" s="115">
        <f t="shared" si="3"/>
        <v>22.895250000000001</v>
      </c>
      <c r="AH22" s="114">
        <v>175</v>
      </c>
      <c r="AI22" s="114">
        <v>267</v>
      </c>
      <c r="AJ22" s="114">
        <v>490</v>
      </c>
      <c r="AK22" s="114">
        <v>800</v>
      </c>
      <c r="AL22" s="115">
        <f t="shared" si="4"/>
        <v>104.664</v>
      </c>
      <c r="AM22" s="115">
        <f t="shared" si="5"/>
        <v>58.193184000000009</v>
      </c>
      <c r="AN22" s="116">
        <f t="shared" si="6"/>
        <v>213600</v>
      </c>
      <c r="AO22" s="116">
        <f t="shared" si="7"/>
        <v>46725</v>
      </c>
      <c r="AP22" s="117">
        <f t="shared" si="8"/>
        <v>0.69500000000000006</v>
      </c>
      <c r="AQ22" s="118">
        <f t="shared" si="9"/>
        <v>2.8968262596696639</v>
      </c>
      <c r="AR22" s="119" t="s">
        <v>783</v>
      </c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</row>
    <row r="23" spans="1:123">
      <c r="A23" s="248" t="s">
        <v>486</v>
      </c>
      <c r="B23" s="19" t="s">
        <v>677</v>
      </c>
      <c r="C23" s="21" t="s">
        <v>359</v>
      </c>
      <c r="D23" s="22">
        <v>1</v>
      </c>
      <c r="E23" s="23" t="s">
        <v>740</v>
      </c>
      <c r="F23" s="17"/>
      <c r="G23" s="24">
        <v>2387</v>
      </c>
      <c r="H23" s="17"/>
      <c r="I23" s="17"/>
      <c r="J23" s="25">
        <v>297</v>
      </c>
      <c r="K23" s="176" t="s">
        <v>143</v>
      </c>
      <c r="L23" s="176" t="s">
        <v>148</v>
      </c>
      <c r="M23" s="177" t="s">
        <v>575</v>
      </c>
      <c r="N23" s="190" t="s">
        <v>616</v>
      </c>
      <c r="O23" s="176" t="s">
        <v>757</v>
      </c>
      <c r="P23" s="149">
        <v>2215500</v>
      </c>
      <c r="Q23" s="178" t="s">
        <v>73</v>
      </c>
      <c r="R23" s="178" t="s">
        <v>759</v>
      </c>
      <c r="S23" s="177">
        <v>2026</v>
      </c>
      <c r="T23" s="179">
        <v>46203</v>
      </c>
      <c r="U23" s="180">
        <v>0.55600000000000005</v>
      </c>
      <c r="V23" s="180">
        <v>0.30499999999999994</v>
      </c>
      <c r="W23" s="181">
        <f t="shared" si="0"/>
        <v>0.86099999999999999</v>
      </c>
      <c r="X23" s="180">
        <v>7.0000000000000007E-2</v>
      </c>
      <c r="Y23" s="180">
        <v>0</v>
      </c>
      <c r="Z23" s="180">
        <v>6.8000000000000005E-2</v>
      </c>
      <c r="AA23" s="182">
        <v>0.19800000000000001</v>
      </c>
      <c r="AB23" s="180">
        <v>0.13900000000000001</v>
      </c>
      <c r="AC23" s="113">
        <f t="shared" si="10"/>
        <v>101592</v>
      </c>
      <c r="AD23" s="179"/>
      <c r="AE23" s="183">
        <f t="shared" si="1"/>
        <v>2.2155</v>
      </c>
      <c r="AF23" s="182">
        <f t="shared" si="2"/>
        <v>1.4538546342231671E-2</v>
      </c>
      <c r="AG23" s="184">
        <f t="shared" si="3"/>
        <v>35.557200000000002</v>
      </c>
      <c r="AH23" s="183">
        <v>350</v>
      </c>
      <c r="AI23" s="183">
        <v>332</v>
      </c>
      <c r="AJ23" s="183">
        <v>306</v>
      </c>
      <c r="AK23" s="183">
        <v>1500</v>
      </c>
      <c r="AL23" s="184">
        <f t="shared" si="4"/>
        <v>152.38800000000001</v>
      </c>
      <c r="AM23" s="184">
        <f t="shared" si="5"/>
        <v>84.727728000000013</v>
      </c>
      <c r="AN23" s="151">
        <f t="shared" si="6"/>
        <v>498000</v>
      </c>
      <c r="AO23" s="151">
        <f t="shared" si="7"/>
        <v>116200</v>
      </c>
      <c r="AP23" s="152">
        <f t="shared" si="8"/>
        <v>0.69500000000000006</v>
      </c>
      <c r="AQ23" s="153">
        <f t="shared" si="9"/>
        <v>2.8038678728287896</v>
      </c>
      <c r="AR23" s="185" t="s">
        <v>783</v>
      </c>
    </row>
    <row r="24" spans="1:123" s="120" customFormat="1">
      <c r="A24" s="247" t="s">
        <v>488</v>
      </c>
      <c r="B24" s="103" t="s">
        <v>679</v>
      </c>
      <c r="C24" s="104" t="s">
        <v>357</v>
      </c>
      <c r="D24" s="33">
        <v>1</v>
      </c>
      <c r="E24" s="34" t="s">
        <v>740</v>
      </c>
      <c r="F24" s="35"/>
      <c r="G24" s="36">
        <v>2374</v>
      </c>
      <c r="H24" s="35"/>
      <c r="I24" s="35"/>
      <c r="J24" s="37">
        <v>300</v>
      </c>
      <c r="K24" s="105" t="s">
        <v>143</v>
      </c>
      <c r="L24" s="105" t="s">
        <v>149</v>
      </c>
      <c r="M24" s="106" t="s">
        <v>575</v>
      </c>
      <c r="N24" s="154" t="s">
        <v>614</v>
      </c>
      <c r="O24" s="105" t="s">
        <v>760</v>
      </c>
      <c r="P24" s="107">
        <v>0</v>
      </c>
      <c r="Q24" s="108" t="s">
        <v>25</v>
      </c>
      <c r="R24" s="108" t="s">
        <v>759</v>
      </c>
      <c r="S24" s="106">
        <v>2026</v>
      </c>
      <c r="T24" s="109">
        <v>46203</v>
      </c>
      <c r="U24" s="110">
        <v>0.4</v>
      </c>
      <c r="V24" s="110">
        <v>0.5</v>
      </c>
      <c r="W24" s="111">
        <f t="shared" si="0"/>
        <v>0.9</v>
      </c>
      <c r="X24" s="110">
        <v>7.0000000000000007E-2</v>
      </c>
      <c r="Y24" s="110">
        <v>9.5000000000000001E-2</v>
      </c>
      <c r="Z24" s="110">
        <v>6.8000000000000005E-2</v>
      </c>
      <c r="AA24" s="112">
        <v>0.19800000000000001</v>
      </c>
      <c r="AB24" s="110">
        <v>9.9999999999999978E-2</v>
      </c>
      <c r="AC24" s="113">
        <f t="shared" si="10"/>
        <v>264827.8</v>
      </c>
      <c r="AD24" s="109"/>
      <c r="AE24" s="114">
        <f t="shared" si="1"/>
        <v>0</v>
      </c>
      <c r="AF24" s="112">
        <f t="shared" si="2"/>
        <v>0</v>
      </c>
      <c r="AG24" s="115">
        <f t="shared" si="3"/>
        <v>46.344864999999999</v>
      </c>
      <c r="AH24" s="114">
        <v>175</v>
      </c>
      <c r="AI24" s="114">
        <v>432.72516339869281</v>
      </c>
      <c r="AJ24" s="114">
        <v>612</v>
      </c>
      <c r="AK24" s="114">
        <v>900</v>
      </c>
      <c r="AL24" s="115">
        <f t="shared" si="4"/>
        <v>238.34502000000001</v>
      </c>
      <c r="AM24" s="115">
        <f t="shared" si="5"/>
        <v>95.338008000000002</v>
      </c>
      <c r="AN24" s="116">
        <f t="shared" si="6"/>
        <v>389452.64705882355</v>
      </c>
      <c r="AO24" s="116">
        <f t="shared" si="7"/>
        <v>75726.90359477124</v>
      </c>
      <c r="AP24" s="117">
        <f t="shared" si="8"/>
        <v>0.5</v>
      </c>
      <c r="AQ24" s="118">
        <f t="shared" si="9"/>
        <v>2.5714285714285716</v>
      </c>
      <c r="AR24" s="119" t="s">
        <v>783</v>
      </c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</row>
    <row r="25" spans="1:123">
      <c r="A25" s="248" t="s">
        <v>489</v>
      </c>
      <c r="B25" s="19" t="s">
        <v>680</v>
      </c>
      <c r="C25" s="21" t="s">
        <v>353</v>
      </c>
      <c r="D25" s="22">
        <v>1</v>
      </c>
      <c r="E25" s="23" t="s">
        <v>740</v>
      </c>
      <c r="F25" s="17"/>
      <c r="G25" s="24">
        <v>2374</v>
      </c>
      <c r="H25" s="17"/>
      <c r="I25" s="17"/>
      <c r="J25" s="25">
        <v>301</v>
      </c>
      <c r="K25" s="176" t="s">
        <v>143</v>
      </c>
      <c r="L25" s="176" t="s">
        <v>149</v>
      </c>
      <c r="M25" s="177" t="s">
        <v>575</v>
      </c>
      <c r="N25" s="190" t="s">
        <v>613</v>
      </c>
      <c r="O25" s="176" t="s">
        <v>760</v>
      </c>
      <c r="P25" s="149">
        <v>0</v>
      </c>
      <c r="Q25" s="178" t="s">
        <v>25</v>
      </c>
      <c r="R25" s="178" t="s">
        <v>759</v>
      </c>
      <c r="S25" s="177">
        <v>2026</v>
      </c>
      <c r="T25" s="179">
        <v>46387</v>
      </c>
      <c r="U25" s="180">
        <v>0.4</v>
      </c>
      <c r="V25" s="180">
        <v>0.5</v>
      </c>
      <c r="W25" s="181">
        <f t="shared" si="0"/>
        <v>0.9</v>
      </c>
      <c r="X25" s="180">
        <v>7.0000000000000007E-2</v>
      </c>
      <c r="Y25" s="180">
        <v>9.5000000000000001E-2</v>
      </c>
      <c r="Z25" s="180">
        <v>6.8000000000000005E-2</v>
      </c>
      <c r="AA25" s="182">
        <v>0.19800000000000001</v>
      </c>
      <c r="AB25" s="180">
        <v>9.9999999999999978E-2</v>
      </c>
      <c r="AC25" s="113">
        <f t="shared" si="10"/>
        <v>159307.14000000001</v>
      </c>
      <c r="AD25" s="179"/>
      <c r="AE25" s="183">
        <f t="shared" si="1"/>
        <v>0</v>
      </c>
      <c r="AF25" s="182">
        <f t="shared" si="2"/>
        <v>0</v>
      </c>
      <c r="AG25" s="184">
        <f t="shared" si="3"/>
        <v>27.878749500000009</v>
      </c>
      <c r="AH25" s="183">
        <v>175</v>
      </c>
      <c r="AI25" s="183">
        <v>375.72438679245289</v>
      </c>
      <c r="AJ25" s="183">
        <v>424</v>
      </c>
      <c r="AK25" s="183">
        <v>800</v>
      </c>
      <c r="AL25" s="184">
        <f t="shared" si="4"/>
        <v>127.44571200000001</v>
      </c>
      <c r="AM25" s="184">
        <f t="shared" si="5"/>
        <v>50.978284800000012</v>
      </c>
      <c r="AN25" s="151">
        <f t="shared" si="6"/>
        <v>300579.50943396229</v>
      </c>
      <c r="AO25" s="151">
        <f t="shared" si="7"/>
        <v>65751.767688679261</v>
      </c>
      <c r="AP25" s="152">
        <f t="shared" si="8"/>
        <v>0.5</v>
      </c>
      <c r="AQ25" s="153">
        <f t="shared" si="9"/>
        <v>2.2857142857142851</v>
      </c>
      <c r="AR25" s="185" t="s">
        <v>783</v>
      </c>
    </row>
    <row r="26" spans="1:123" s="120" customFormat="1">
      <c r="A26" s="247" t="s">
        <v>495</v>
      </c>
      <c r="B26" s="103" t="s">
        <v>689</v>
      </c>
      <c r="C26" s="104" t="s">
        <v>351</v>
      </c>
      <c r="D26" s="33">
        <v>1</v>
      </c>
      <c r="E26" s="34" t="s">
        <v>740</v>
      </c>
      <c r="F26" s="35"/>
      <c r="G26" s="36">
        <v>2388</v>
      </c>
      <c r="H26" s="35"/>
      <c r="I26" s="35"/>
      <c r="J26" s="37">
        <v>310</v>
      </c>
      <c r="K26" s="105" t="s">
        <v>143</v>
      </c>
      <c r="L26" s="105" t="s">
        <v>151</v>
      </c>
      <c r="M26" s="106" t="s">
        <v>575</v>
      </c>
      <c r="N26" s="154" t="s">
        <v>622</v>
      </c>
      <c r="O26" s="105" t="s">
        <v>760</v>
      </c>
      <c r="P26" s="107">
        <v>0</v>
      </c>
      <c r="Q26" s="108" t="s">
        <v>25</v>
      </c>
      <c r="R26" s="108" t="s">
        <v>26</v>
      </c>
      <c r="S26" s="106">
        <v>2026</v>
      </c>
      <c r="T26" s="109">
        <v>46203</v>
      </c>
      <c r="U26" s="110">
        <v>0.54400000000000004</v>
      </c>
      <c r="V26" s="110">
        <v>0.31999999999999995</v>
      </c>
      <c r="W26" s="111">
        <f t="shared" si="0"/>
        <v>0.86399999999999999</v>
      </c>
      <c r="X26" s="110">
        <v>7.0000000000000007E-2</v>
      </c>
      <c r="Y26" s="110">
        <v>9.5000000000000001E-2</v>
      </c>
      <c r="Z26" s="110">
        <v>6.8000000000000005E-2</v>
      </c>
      <c r="AA26" s="112">
        <v>0.19800000000000001</v>
      </c>
      <c r="AB26" s="110">
        <v>0.13600000000000001</v>
      </c>
      <c r="AC26" s="113">
        <f t="shared" si="10"/>
        <v>84153.46</v>
      </c>
      <c r="AD26" s="109"/>
      <c r="AE26" s="114">
        <f t="shared" si="1"/>
        <v>0</v>
      </c>
      <c r="AF26" s="112">
        <f t="shared" si="2"/>
        <v>0</v>
      </c>
      <c r="AG26" s="115">
        <f t="shared" si="3"/>
        <v>14.726855500000001</v>
      </c>
      <c r="AH26" s="114">
        <v>175</v>
      </c>
      <c r="AI26" s="114">
        <v>235.06553072625701</v>
      </c>
      <c r="AJ26" s="114">
        <v>358</v>
      </c>
      <c r="AK26" s="114">
        <v>650</v>
      </c>
      <c r="AL26" s="115">
        <f t="shared" si="4"/>
        <v>54.699749000000004</v>
      </c>
      <c r="AM26" s="115">
        <f t="shared" si="5"/>
        <v>29.756663456000005</v>
      </c>
      <c r="AN26" s="116">
        <f t="shared" si="6"/>
        <v>152792.59497206705</v>
      </c>
      <c r="AO26" s="116">
        <f t="shared" si="7"/>
        <v>41136.467877094976</v>
      </c>
      <c r="AP26" s="117">
        <f t="shared" si="8"/>
        <v>0.68</v>
      </c>
      <c r="AQ26" s="118">
        <f t="shared" si="9"/>
        <v>2.5257142857142862</v>
      </c>
      <c r="AR26" s="119" t="s">
        <v>782</v>
      </c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</row>
    <row r="27" spans="1:123">
      <c r="A27" s="248" t="s">
        <v>498</v>
      </c>
      <c r="B27" s="19" t="s">
        <v>692</v>
      </c>
      <c r="C27" s="21" t="s">
        <v>349</v>
      </c>
      <c r="D27" s="22">
        <v>1</v>
      </c>
      <c r="E27" s="23" t="s">
        <v>740</v>
      </c>
      <c r="F27" s="17"/>
      <c r="G27" s="24">
        <v>2380</v>
      </c>
      <c r="H27" s="17"/>
      <c r="I27" s="17"/>
      <c r="J27" s="25">
        <v>313</v>
      </c>
      <c r="K27" s="176" t="s">
        <v>143</v>
      </c>
      <c r="L27" s="176" t="s">
        <v>152</v>
      </c>
      <c r="M27" s="177" t="s">
        <v>575</v>
      </c>
      <c r="N27" s="190" t="s">
        <v>625</v>
      </c>
      <c r="O27" s="176" t="s">
        <v>760</v>
      </c>
      <c r="P27" s="149">
        <v>0</v>
      </c>
      <c r="Q27" s="178" t="s">
        <v>25</v>
      </c>
      <c r="R27" s="178" t="s">
        <v>759</v>
      </c>
      <c r="S27" s="177">
        <v>2026</v>
      </c>
      <c r="T27" s="179">
        <v>46203</v>
      </c>
      <c r="U27" s="180">
        <v>0.55200000000000005</v>
      </c>
      <c r="V27" s="180">
        <v>0.30999999999999994</v>
      </c>
      <c r="W27" s="181">
        <f t="shared" si="0"/>
        <v>0.86199999999999999</v>
      </c>
      <c r="X27" s="180">
        <v>7.0000000000000007E-2</v>
      </c>
      <c r="Y27" s="180">
        <v>9.5000000000000001E-2</v>
      </c>
      <c r="Z27" s="180">
        <v>6.8000000000000005E-2</v>
      </c>
      <c r="AA27" s="182">
        <v>0.19800000000000001</v>
      </c>
      <c r="AB27" s="180">
        <v>0.13800000000000001</v>
      </c>
      <c r="AC27" s="113">
        <f t="shared" si="10"/>
        <v>64704</v>
      </c>
      <c r="AD27" s="179"/>
      <c r="AE27" s="183">
        <f t="shared" si="1"/>
        <v>0</v>
      </c>
      <c r="AF27" s="182">
        <f t="shared" si="2"/>
        <v>0</v>
      </c>
      <c r="AG27" s="184">
        <f t="shared" si="3"/>
        <v>9.0585599999999999</v>
      </c>
      <c r="AH27" s="183">
        <v>140</v>
      </c>
      <c r="AI27" s="183">
        <v>1348</v>
      </c>
      <c r="AJ27" s="183">
        <v>48</v>
      </c>
      <c r="AK27" s="183">
        <v>900</v>
      </c>
      <c r="AL27" s="184">
        <f t="shared" si="4"/>
        <v>58.233600000000003</v>
      </c>
      <c r="AM27" s="184">
        <f t="shared" si="5"/>
        <v>32.144947200000004</v>
      </c>
      <c r="AN27" s="151">
        <f t="shared" si="6"/>
        <v>1213200</v>
      </c>
      <c r="AO27" s="151">
        <f t="shared" si="7"/>
        <v>188720</v>
      </c>
      <c r="AP27" s="152">
        <f t="shared" si="8"/>
        <v>0.69000000000000006</v>
      </c>
      <c r="AQ27" s="153">
        <f t="shared" si="9"/>
        <v>4.4357142857142859</v>
      </c>
      <c r="AR27" s="185" t="s">
        <v>783</v>
      </c>
    </row>
    <row r="28" spans="1:123" s="120" customFormat="1">
      <c r="A28" s="247" t="s">
        <v>504</v>
      </c>
      <c r="B28" s="103" t="s">
        <v>698</v>
      </c>
      <c r="C28" s="104" t="s">
        <v>344</v>
      </c>
      <c r="D28" s="33">
        <v>1</v>
      </c>
      <c r="E28" s="34" t="s">
        <v>740</v>
      </c>
      <c r="F28" s="35"/>
      <c r="G28" s="36">
        <v>2378</v>
      </c>
      <c r="H28" s="35"/>
      <c r="I28" s="35"/>
      <c r="J28" s="37">
        <v>322</v>
      </c>
      <c r="K28" s="105" t="s">
        <v>143</v>
      </c>
      <c r="L28" s="105" t="s">
        <v>157</v>
      </c>
      <c r="M28" s="106" t="s">
        <v>585</v>
      </c>
      <c r="N28" s="154" t="s">
        <v>856</v>
      </c>
      <c r="O28" s="105" t="s">
        <v>760</v>
      </c>
      <c r="P28" s="107">
        <v>0</v>
      </c>
      <c r="Q28" s="108" t="s">
        <v>25</v>
      </c>
      <c r="R28" s="108" t="s">
        <v>759</v>
      </c>
      <c r="S28" s="106">
        <v>2026</v>
      </c>
      <c r="T28" s="109">
        <v>46295</v>
      </c>
      <c r="U28" s="110">
        <v>0.53600000000000003</v>
      </c>
      <c r="V28" s="110">
        <v>0.32999999999999996</v>
      </c>
      <c r="W28" s="111">
        <f t="shared" si="0"/>
        <v>0.86599999999999999</v>
      </c>
      <c r="X28" s="110">
        <v>7.0000000000000007E-2</v>
      </c>
      <c r="Y28" s="110">
        <v>9.5000000000000001E-2</v>
      </c>
      <c r="Z28" s="110">
        <v>6.8000000000000005E-2</v>
      </c>
      <c r="AA28" s="112">
        <v>0.19800000000000001</v>
      </c>
      <c r="AB28" s="110">
        <v>0.13400000000000001</v>
      </c>
      <c r="AC28" s="113">
        <f t="shared" si="10"/>
        <v>167783.24</v>
      </c>
      <c r="AD28" s="109"/>
      <c r="AE28" s="114">
        <f t="shared" si="1"/>
        <v>0</v>
      </c>
      <c r="AF28" s="112">
        <f t="shared" si="2"/>
        <v>0</v>
      </c>
      <c r="AG28" s="115">
        <f t="shared" si="3"/>
        <v>29.362066999999996</v>
      </c>
      <c r="AH28" s="114">
        <v>175</v>
      </c>
      <c r="AI28" s="114">
        <v>191.97167048054919</v>
      </c>
      <c r="AJ28" s="114">
        <v>874</v>
      </c>
      <c r="AK28" s="114">
        <v>650</v>
      </c>
      <c r="AL28" s="115">
        <f t="shared" si="4"/>
        <v>109.059106</v>
      </c>
      <c r="AM28" s="115">
        <f t="shared" si="5"/>
        <v>58.455680816000005</v>
      </c>
      <c r="AN28" s="116">
        <f t="shared" si="6"/>
        <v>124781.58581235698</v>
      </c>
      <c r="AO28" s="116">
        <f t="shared" si="7"/>
        <v>33595.042334096106</v>
      </c>
      <c r="AP28" s="117">
        <f t="shared" si="8"/>
        <v>0.67</v>
      </c>
      <c r="AQ28" s="118">
        <f t="shared" si="9"/>
        <v>2.4885714285714293</v>
      </c>
      <c r="AR28" s="119" t="s">
        <v>783</v>
      </c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</row>
    <row r="29" spans="1:123">
      <c r="A29" s="248" t="s">
        <v>505</v>
      </c>
      <c r="B29" s="19" t="s">
        <v>699</v>
      </c>
      <c r="C29" s="21" t="s">
        <v>344</v>
      </c>
      <c r="D29" s="22">
        <v>1</v>
      </c>
      <c r="E29" s="23" t="s">
        <v>740</v>
      </c>
      <c r="F29" s="17"/>
      <c r="G29" s="24">
        <v>2379</v>
      </c>
      <c r="H29" s="17"/>
      <c r="I29" s="17"/>
      <c r="J29" s="25">
        <v>323</v>
      </c>
      <c r="K29" s="176" t="s">
        <v>143</v>
      </c>
      <c r="L29" s="176" t="s">
        <v>157</v>
      </c>
      <c r="M29" s="177" t="s">
        <v>585</v>
      </c>
      <c r="N29" s="190" t="s">
        <v>857</v>
      </c>
      <c r="O29" s="176" t="s">
        <v>760</v>
      </c>
      <c r="P29" s="149">
        <v>0</v>
      </c>
      <c r="Q29" s="178" t="s">
        <v>25</v>
      </c>
      <c r="R29" s="178" t="s">
        <v>759</v>
      </c>
      <c r="S29" s="177">
        <v>2026</v>
      </c>
      <c r="T29" s="179">
        <v>46295</v>
      </c>
      <c r="U29" s="180">
        <v>0.52</v>
      </c>
      <c r="V29" s="180">
        <v>0.35</v>
      </c>
      <c r="W29" s="181">
        <f t="shared" si="0"/>
        <v>0.87</v>
      </c>
      <c r="X29" s="180">
        <v>7.0000000000000007E-2</v>
      </c>
      <c r="Y29" s="180">
        <v>9.5000000000000001E-2</v>
      </c>
      <c r="Z29" s="180">
        <v>6.8000000000000005E-2</v>
      </c>
      <c r="AA29" s="182">
        <v>0.19800000000000001</v>
      </c>
      <c r="AB29" s="180">
        <v>0.13</v>
      </c>
      <c r="AC29" s="113">
        <f t="shared" si="10"/>
        <v>96232</v>
      </c>
      <c r="AD29" s="179"/>
      <c r="AE29" s="183">
        <f t="shared" si="1"/>
        <v>0</v>
      </c>
      <c r="AF29" s="182">
        <f t="shared" si="2"/>
        <v>0</v>
      </c>
      <c r="AG29" s="184">
        <f t="shared" si="3"/>
        <v>16.840599999999998</v>
      </c>
      <c r="AH29" s="183">
        <v>175</v>
      </c>
      <c r="AI29" s="183">
        <v>184</v>
      </c>
      <c r="AJ29" s="183">
        <v>523</v>
      </c>
      <c r="AK29" s="183">
        <v>650</v>
      </c>
      <c r="AL29" s="184">
        <f t="shared" si="4"/>
        <v>62.550800000000002</v>
      </c>
      <c r="AM29" s="184">
        <f t="shared" si="5"/>
        <v>32.526416000000005</v>
      </c>
      <c r="AN29" s="151">
        <f t="shared" si="6"/>
        <v>119600</v>
      </c>
      <c r="AO29" s="151">
        <f t="shared" si="7"/>
        <v>32200</v>
      </c>
      <c r="AP29" s="152">
        <f t="shared" si="8"/>
        <v>0.65</v>
      </c>
      <c r="AQ29" s="153">
        <f t="shared" si="9"/>
        <v>2.4142857142857146</v>
      </c>
      <c r="AR29" s="185" t="s">
        <v>783</v>
      </c>
    </row>
    <row r="30" spans="1:123" s="120" customFormat="1">
      <c r="A30" s="247" t="s">
        <v>428</v>
      </c>
      <c r="B30" s="103" t="s">
        <v>206</v>
      </c>
      <c r="C30" s="104" t="s">
        <v>328</v>
      </c>
      <c r="D30" s="33">
        <v>1</v>
      </c>
      <c r="E30" s="34" t="s">
        <v>740</v>
      </c>
      <c r="F30" s="35"/>
      <c r="G30" s="36" t="s">
        <v>753</v>
      </c>
      <c r="H30" s="35"/>
      <c r="I30" s="35"/>
      <c r="J30" s="37">
        <v>162</v>
      </c>
      <c r="K30" s="105" t="s">
        <v>53</v>
      </c>
      <c r="L30" s="105" t="s">
        <v>54</v>
      </c>
      <c r="M30" s="106" t="s">
        <v>568</v>
      </c>
      <c r="N30" s="154" t="s">
        <v>56</v>
      </c>
      <c r="O30" s="105" t="s">
        <v>760</v>
      </c>
      <c r="P30" s="107">
        <v>0</v>
      </c>
      <c r="Q30" s="108" t="s">
        <v>25</v>
      </c>
      <c r="R30" s="108" t="s">
        <v>759</v>
      </c>
      <c r="S30" s="106">
        <v>2026</v>
      </c>
      <c r="T30" s="109">
        <v>46203</v>
      </c>
      <c r="U30" s="110">
        <v>0.36959999999999998</v>
      </c>
      <c r="V30" s="110"/>
      <c r="W30" s="111">
        <f t="shared" si="0"/>
        <v>0.36959999999999998</v>
      </c>
      <c r="X30" s="110"/>
      <c r="Y30" s="110"/>
      <c r="Z30" s="110"/>
      <c r="AA30" s="112">
        <v>0.19800000000000001</v>
      </c>
      <c r="AB30" s="110">
        <v>0.63040000000000007</v>
      </c>
      <c r="AC30" s="113">
        <f t="shared" si="10"/>
        <v>224990.22</v>
      </c>
      <c r="AD30" s="109"/>
      <c r="AE30" s="114">
        <f t="shared" si="1"/>
        <v>0</v>
      </c>
      <c r="AF30" s="112">
        <f t="shared" si="2"/>
        <v>0</v>
      </c>
      <c r="AG30" s="115">
        <f t="shared" si="3"/>
        <v>28.798748159999999</v>
      </c>
      <c r="AH30" s="114">
        <v>128</v>
      </c>
      <c r="AI30" s="114">
        <v>290.68503875968992</v>
      </c>
      <c r="AJ30" s="114">
        <v>774</v>
      </c>
      <c r="AK30" s="114">
        <v>550</v>
      </c>
      <c r="AL30" s="115">
        <f t="shared" si="4"/>
        <v>123.744621</v>
      </c>
      <c r="AM30" s="115">
        <f t="shared" si="5"/>
        <v>45.736011921599996</v>
      </c>
      <c r="AN30" s="116">
        <f t="shared" si="6"/>
        <v>159876.77131782947</v>
      </c>
      <c r="AO30" s="116">
        <f t="shared" si="7"/>
        <v>37207.684961240309</v>
      </c>
      <c r="AP30" s="117">
        <f t="shared" si="8"/>
        <v>1</v>
      </c>
      <c r="AQ30" s="118">
        <f t="shared" si="9"/>
        <v>4.296875</v>
      </c>
      <c r="AR30" s="119" t="s">
        <v>783</v>
      </c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</row>
    <row r="31" spans="1:123">
      <c r="A31" s="248" t="s">
        <v>430</v>
      </c>
      <c r="B31" s="19" t="s">
        <v>225</v>
      </c>
      <c r="C31" s="21" t="s">
        <v>326</v>
      </c>
      <c r="D31" s="22">
        <v>1</v>
      </c>
      <c r="E31" s="23" t="s">
        <v>740</v>
      </c>
      <c r="F31" s="17"/>
      <c r="G31" s="24" t="s">
        <v>753</v>
      </c>
      <c r="H31" s="17"/>
      <c r="I31" s="17"/>
      <c r="J31" s="25">
        <v>184</v>
      </c>
      <c r="K31" s="176" t="s">
        <v>53</v>
      </c>
      <c r="L31" s="176" t="s">
        <v>54</v>
      </c>
      <c r="M31" s="177" t="s">
        <v>568</v>
      </c>
      <c r="N31" s="190" t="s">
        <v>793</v>
      </c>
      <c r="O31" s="176" t="s">
        <v>760</v>
      </c>
      <c r="P31" s="149">
        <v>0</v>
      </c>
      <c r="Q31" s="178" t="s">
        <v>25</v>
      </c>
      <c r="R31" s="178" t="s">
        <v>759</v>
      </c>
      <c r="S31" s="177">
        <v>2026</v>
      </c>
      <c r="T31" s="179">
        <v>46660</v>
      </c>
      <c r="U31" s="180">
        <v>0.6</v>
      </c>
      <c r="V31" s="180"/>
      <c r="W31" s="181">
        <f t="shared" si="0"/>
        <v>0.6</v>
      </c>
      <c r="X31" s="180"/>
      <c r="Y31" s="180"/>
      <c r="Z31" s="180"/>
      <c r="AA31" s="182">
        <v>0.19800000000000001</v>
      </c>
      <c r="AB31" s="180">
        <v>0.4</v>
      </c>
      <c r="AC31" s="113">
        <f t="shared" si="10"/>
        <v>158850</v>
      </c>
      <c r="AD31" s="179"/>
      <c r="AE31" s="183">
        <f t="shared" si="1"/>
        <v>0</v>
      </c>
      <c r="AF31" s="182">
        <f t="shared" si="2"/>
        <v>0</v>
      </c>
      <c r="AG31" s="184">
        <f t="shared" si="3"/>
        <v>20.332799999999999</v>
      </c>
      <c r="AH31" s="183">
        <v>128</v>
      </c>
      <c r="AI31" s="183">
        <v>225</v>
      </c>
      <c r="AJ31" s="183">
        <v>706</v>
      </c>
      <c r="AK31" s="183">
        <v>500</v>
      </c>
      <c r="AL31" s="184">
        <f t="shared" si="4"/>
        <v>79.424999999999997</v>
      </c>
      <c r="AM31" s="184">
        <f t="shared" si="5"/>
        <v>47.654999999999994</v>
      </c>
      <c r="AN31" s="151">
        <f t="shared" si="6"/>
        <v>112500</v>
      </c>
      <c r="AO31" s="151">
        <f t="shared" si="7"/>
        <v>28800</v>
      </c>
      <c r="AP31" s="152">
        <f t="shared" si="8"/>
        <v>1</v>
      </c>
      <c r="AQ31" s="153">
        <f t="shared" si="9"/>
        <v>3.90625</v>
      </c>
      <c r="AR31" s="185" t="s">
        <v>783</v>
      </c>
    </row>
    <row r="32" spans="1:123" s="120" customFormat="1">
      <c r="A32" s="247" t="s">
        <v>432</v>
      </c>
      <c r="B32" s="103" t="s">
        <v>633</v>
      </c>
      <c r="C32" s="104" t="s">
        <v>329</v>
      </c>
      <c r="D32" s="33">
        <v>1</v>
      </c>
      <c r="E32" s="34" t="s">
        <v>740</v>
      </c>
      <c r="F32" s="35"/>
      <c r="G32" s="36" t="s">
        <v>753</v>
      </c>
      <c r="H32" s="35"/>
      <c r="I32" s="35"/>
      <c r="J32" s="37">
        <v>185</v>
      </c>
      <c r="K32" s="105" t="s">
        <v>53</v>
      </c>
      <c r="L32" s="105" t="s">
        <v>54</v>
      </c>
      <c r="M32" s="106" t="s">
        <v>568</v>
      </c>
      <c r="N32" s="154" t="s">
        <v>790</v>
      </c>
      <c r="O32" s="105" t="s">
        <v>760</v>
      </c>
      <c r="P32" s="107">
        <v>0</v>
      </c>
      <c r="Q32" s="108" t="s">
        <v>25</v>
      </c>
      <c r="R32" s="108" t="s">
        <v>26</v>
      </c>
      <c r="S32" s="106">
        <v>2026</v>
      </c>
      <c r="T32" s="109">
        <v>46387</v>
      </c>
      <c r="U32" s="110">
        <v>0.69</v>
      </c>
      <c r="V32" s="110"/>
      <c r="W32" s="111">
        <f t="shared" si="0"/>
        <v>0.69</v>
      </c>
      <c r="X32" s="110"/>
      <c r="Y32" s="110"/>
      <c r="Z32" s="110"/>
      <c r="AA32" s="112">
        <v>0.19800000000000001</v>
      </c>
      <c r="AB32" s="110">
        <v>0.31000000000000005</v>
      </c>
      <c r="AC32" s="113">
        <f t="shared" si="10"/>
        <v>327445</v>
      </c>
      <c r="AD32" s="109"/>
      <c r="AE32" s="114">
        <f t="shared" si="1"/>
        <v>0</v>
      </c>
      <c r="AF32" s="112">
        <f t="shared" si="2"/>
        <v>0</v>
      </c>
      <c r="AG32" s="115">
        <f t="shared" si="3"/>
        <v>41.912959999999998</v>
      </c>
      <c r="AH32" s="114">
        <v>128</v>
      </c>
      <c r="AI32" s="114">
        <v>215</v>
      </c>
      <c r="AJ32" s="114">
        <v>1523</v>
      </c>
      <c r="AK32" s="114">
        <v>600</v>
      </c>
      <c r="AL32" s="115">
        <f t="shared" si="4"/>
        <v>196.46700000000001</v>
      </c>
      <c r="AM32" s="115">
        <f t="shared" si="5"/>
        <v>135.56223</v>
      </c>
      <c r="AN32" s="116">
        <f t="shared" si="6"/>
        <v>129000</v>
      </c>
      <c r="AO32" s="116">
        <f t="shared" si="7"/>
        <v>27520</v>
      </c>
      <c r="AP32" s="117">
        <f t="shared" si="8"/>
        <v>1</v>
      </c>
      <c r="AQ32" s="118">
        <f t="shared" si="9"/>
        <v>4.6875000000000009</v>
      </c>
      <c r="AR32" s="119" t="s">
        <v>783</v>
      </c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</row>
    <row r="33" spans="1:123">
      <c r="A33" s="248" t="s">
        <v>435</v>
      </c>
      <c r="B33" s="19" t="s">
        <v>229</v>
      </c>
      <c r="C33" s="21" t="s">
        <v>395</v>
      </c>
      <c r="D33" s="22">
        <v>1</v>
      </c>
      <c r="E33" s="23" t="s">
        <v>740</v>
      </c>
      <c r="F33" s="17"/>
      <c r="G33" s="24">
        <v>2039</v>
      </c>
      <c r="H33" s="17"/>
      <c r="I33" s="17"/>
      <c r="J33" s="25">
        <v>192</v>
      </c>
      <c r="K33" s="176" t="s">
        <v>53</v>
      </c>
      <c r="L33" s="176" t="s">
        <v>79</v>
      </c>
      <c r="M33" s="177" t="s">
        <v>579</v>
      </c>
      <c r="N33" s="190" t="s">
        <v>80</v>
      </c>
      <c r="O33" s="176" t="s">
        <v>760</v>
      </c>
      <c r="P33" s="149">
        <v>0</v>
      </c>
      <c r="Q33" s="178" t="s">
        <v>25</v>
      </c>
      <c r="R33" s="178" t="s">
        <v>777</v>
      </c>
      <c r="S33" s="177">
        <v>2026</v>
      </c>
      <c r="T33" s="179">
        <v>46203</v>
      </c>
      <c r="U33" s="180">
        <v>0.6</v>
      </c>
      <c r="V33" s="180">
        <v>0.30000000000000004</v>
      </c>
      <c r="W33" s="181">
        <f t="shared" si="0"/>
        <v>0.9</v>
      </c>
      <c r="X33" s="180">
        <v>0.05</v>
      </c>
      <c r="Y33" s="180">
        <v>9.5000000000000001E-2</v>
      </c>
      <c r="Z33" s="180">
        <v>6.8000000000000005E-2</v>
      </c>
      <c r="AA33" s="182">
        <v>0.19800000000000001</v>
      </c>
      <c r="AB33" s="180">
        <v>9.9999999999999978E-2</v>
      </c>
      <c r="AC33" s="113">
        <f t="shared" si="10"/>
        <v>168948.74</v>
      </c>
      <c r="AD33" s="179"/>
      <c r="AE33" s="183">
        <f t="shared" si="1"/>
        <v>0</v>
      </c>
      <c r="AF33" s="182">
        <f t="shared" si="2"/>
        <v>0</v>
      </c>
      <c r="AG33" s="184">
        <f t="shared" si="3"/>
        <v>21.625438719999998</v>
      </c>
      <c r="AH33" s="183">
        <v>128</v>
      </c>
      <c r="AI33" s="183">
        <v>291.29093103448275</v>
      </c>
      <c r="AJ33" s="183">
        <v>580</v>
      </c>
      <c r="AK33" s="183">
        <v>650</v>
      </c>
      <c r="AL33" s="184">
        <f t="shared" si="4"/>
        <v>109.816681</v>
      </c>
      <c r="AM33" s="184">
        <f t="shared" si="5"/>
        <v>65.890008600000002</v>
      </c>
      <c r="AN33" s="151">
        <f t="shared" si="6"/>
        <v>189339.10517241378</v>
      </c>
      <c r="AO33" s="151">
        <f t="shared" si="7"/>
        <v>37285.239172413792</v>
      </c>
      <c r="AP33" s="152">
        <f t="shared" si="8"/>
        <v>0.7</v>
      </c>
      <c r="AQ33" s="153">
        <f t="shared" si="9"/>
        <v>3.5546875</v>
      </c>
      <c r="AR33" s="187" t="s">
        <v>782</v>
      </c>
    </row>
    <row r="34" spans="1:123" s="120" customFormat="1" ht="13">
      <c r="A34" s="252" t="s">
        <v>435</v>
      </c>
      <c r="B34" s="154" t="s">
        <v>778</v>
      </c>
      <c r="C34" s="104"/>
      <c r="D34" s="33" t="s">
        <v>705</v>
      </c>
      <c r="E34" s="34" t="s">
        <v>740</v>
      </c>
      <c r="F34" s="35"/>
      <c r="G34" s="36"/>
      <c r="H34" s="35"/>
      <c r="I34" s="35"/>
      <c r="J34" s="37"/>
      <c r="K34" s="105" t="s">
        <v>53</v>
      </c>
      <c r="L34" s="105" t="s">
        <v>79</v>
      </c>
      <c r="M34" s="106" t="s">
        <v>579</v>
      </c>
      <c r="N34" s="154" t="s">
        <v>778</v>
      </c>
      <c r="O34" s="241" t="s">
        <v>73</v>
      </c>
      <c r="P34" s="106" t="s">
        <v>26</v>
      </c>
      <c r="Q34" s="109" t="s">
        <v>73</v>
      </c>
      <c r="R34" s="113" t="s">
        <v>26</v>
      </c>
      <c r="S34" s="106">
        <v>2026</v>
      </c>
      <c r="T34" s="109">
        <v>46337</v>
      </c>
      <c r="U34" s="114"/>
      <c r="V34" s="114"/>
      <c r="W34" s="111">
        <v>0.41</v>
      </c>
      <c r="X34" s="115"/>
      <c r="Y34" s="116"/>
      <c r="Z34" s="116"/>
      <c r="AA34" s="117">
        <v>0.35</v>
      </c>
      <c r="AB34" s="110">
        <v>0.05</v>
      </c>
      <c r="AC34" s="113">
        <f t="shared" si="10"/>
        <v>128100</v>
      </c>
      <c r="AD34" s="133"/>
      <c r="AE34" s="133"/>
      <c r="AF34" s="133"/>
      <c r="AG34" s="133">
        <f t="shared" si="3"/>
        <v>16.396799999999999</v>
      </c>
      <c r="AH34" s="114">
        <v>128</v>
      </c>
      <c r="AI34" s="114">
        <v>300</v>
      </c>
      <c r="AJ34" s="114">
        <v>427</v>
      </c>
      <c r="AK34" s="114">
        <v>1600</v>
      </c>
      <c r="AL34" s="115">
        <f t="shared" si="4"/>
        <v>204.96</v>
      </c>
      <c r="AM34" s="115">
        <f t="shared" si="5"/>
        <v>0</v>
      </c>
      <c r="AN34" s="116">
        <f t="shared" si="6"/>
        <v>480000</v>
      </c>
      <c r="AO34" s="116">
        <f t="shared" si="7"/>
        <v>38400</v>
      </c>
      <c r="AP34" s="117">
        <f t="shared" si="8"/>
        <v>0.05</v>
      </c>
      <c r="AQ34" s="118">
        <f t="shared" si="9"/>
        <v>0.62500000000000011</v>
      </c>
      <c r="AR34" s="119" t="s">
        <v>783</v>
      </c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</row>
    <row r="35" spans="1:123">
      <c r="A35" s="248" t="s">
        <v>433</v>
      </c>
      <c r="B35" s="19" t="s">
        <v>226</v>
      </c>
      <c r="C35" s="21" t="s">
        <v>330</v>
      </c>
      <c r="D35" s="22">
        <v>1</v>
      </c>
      <c r="E35" s="23" t="s">
        <v>740</v>
      </c>
      <c r="F35" s="17"/>
      <c r="G35" s="24">
        <v>2315</v>
      </c>
      <c r="H35" s="17"/>
      <c r="I35" s="17"/>
      <c r="J35" s="25">
        <v>188</v>
      </c>
      <c r="K35" s="176" t="s">
        <v>53</v>
      </c>
      <c r="L35" s="176" t="s">
        <v>74</v>
      </c>
      <c r="M35" s="177" t="s">
        <v>568</v>
      </c>
      <c r="N35" s="190" t="s">
        <v>75</v>
      </c>
      <c r="O35" s="176" t="s">
        <v>760</v>
      </c>
      <c r="P35" s="149">
        <v>0</v>
      </c>
      <c r="Q35" s="178" t="s">
        <v>25</v>
      </c>
      <c r="R35" s="178" t="s">
        <v>26</v>
      </c>
      <c r="S35" s="177">
        <v>2026</v>
      </c>
      <c r="T35" s="179">
        <v>46387</v>
      </c>
      <c r="U35" s="180">
        <v>0.5323</v>
      </c>
      <c r="V35" s="180"/>
      <c r="W35" s="181">
        <f>SUM(U35:V35)</f>
        <v>0.5323</v>
      </c>
      <c r="X35" s="180"/>
      <c r="Y35" s="180"/>
      <c r="Z35" s="180"/>
      <c r="AA35" s="182">
        <v>0.19800000000000001</v>
      </c>
      <c r="AB35" s="180">
        <v>0.4677</v>
      </c>
      <c r="AC35" s="113">
        <f t="shared" si="10"/>
        <v>14607</v>
      </c>
      <c r="AD35" s="179"/>
      <c r="AE35" s="183">
        <f>P35/10^6</f>
        <v>0</v>
      </c>
      <c r="AF35" s="182">
        <f>IF(AL35=0,0,AE35/AL35)</f>
        <v>0</v>
      </c>
      <c r="AG35" s="184">
        <f t="shared" si="3"/>
        <v>1.16856</v>
      </c>
      <c r="AH35" s="183">
        <v>80</v>
      </c>
      <c r="AI35" s="183">
        <v>14607</v>
      </c>
      <c r="AJ35" s="183">
        <v>1</v>
      </c>
      <c r="AK35" s="183">
        <v>500</v>
      </c>
      <c r="AL35" s="184">
        <f t="shared" si="4"/>
        <v>7.3034999999999997</v>
      </c>
      <c r="AM35" s="184">
        <f t="shared" si="5"/>
        <v>3.8876530499999999</v>
      </c>
      <c r="AN35" s="151">
        <f t="shared" si="6"/>
        <v>7303500</v>
      </c>
      <c r="AO35" s="151">
        <f t="shared" si="7"/>
        <v>1168560</v>
      </c>
      <c r="AP35" s="152">
        <f t="shared" si="8"/>
        <v>1</v>
      </c>
      <c r="AQ35" s="153">
        <f t="shared" si="9"/>
        <v>6.2499999999999991</v>
      </c>
      <c r="AR35" s="185" t="s">
        <v>783</v>
      </c>
    </row>
    <row r="36" spans="1:123" s="120" customFormat="1">
      <c r="A36" s="247" t="s">
        <v>780</v>
      </c>
      <c r="B36" s="130" t="s">
        <v>24</v>
      </c>
      <c r="D36" s="131" t="s">
        <v>705</v>
      </c>
      <c r="E36" s="134" t="s">
        <v>740</v>
      </c>
      <c r="G36" s="131"/>
      <c r="K36" s="105" t="s">
        <v>143</v>
      </c>
      <c r="L36" s="105" t="s">
        <v>779</v>
      </c>
      <c r="M36" s="106" t="s">
        <v>575</v>
      </c>
      <c r="N36" s="154" t="s">
        <v>822</v>
      </c>
      <c r="O36" s="105" t="s">
        <v>760</v>
      </c>
      <c r="P36" s="107"/>
      <c r="Q36" s="108" t="s">
        <v>25</v>
      </c>
      <c r="R36" s="108" t="s">
        <v>26</v>
      </c>
      <c r="S36" s="106">
        <v>2026</v>
      </c>
      <c r="T36" s="109">
        <v>46331</v>
      </c>
      <c r="U36" s="110"/>
      <c r="V36" s="110"/>
      <c r="W36" s="111">
        <v>0.4</v>
      </c>
      <c r="X36" s="110"/>
      <c r="Y36" s="110">
        <v>7.0000000000000007E-2</v>
      </c>
      <c r="Z36" s="110"/>
      <c r="AA36" s="112">
        <v>0.5</v>
      </c>
      <c r="AB36" s="110">
        <v>0.1</v>
      </c>
      <c r="AC36" s="113">
        <f t="shared" si="10"/>
        <v>249604.84999999998</v>
      </c>
      <c r="AD36" s="109"/>
      <c r="AE36" s="114">
        <v>0</v>
      </c>
      <c r="AF36" s="112">
        <v>0</v>
      </c>
      <c r="AG36" s="115">
        <v>127</v>
      </c>
      <c r="AH36" s="114">
        <v>220</v>
      </c>
      <c r="AI36" s="114">
        <v>2496.0484999999999</v>
      </c>
      <c r="AJ36" s="114">
        <v>100</v>
      </c>
      <c r="AK36" s="114">
        <v>800</v>
      </c>
      <c r="AL36" s="115">
        <f t="shared" ref="AL36:AL67" si="11">(AK36*AJ36*AI36)/10^6</f>
        <v>199.68387999999999</v>
      </c>
      <c r="AM36" s="115">
        <f t="shared" ref="AM36:AM67" si="12">AL36*U36</f>
        <v>0</v>
      </c>
      <c r="AN36" s="116">
        <f t="shared" ref="AN36:AN67" si="13">AI36*AK36</f>
        <v>1996838.7999999998</v>
      </c>
      <c r="AO36" s="116">
        <f t="shared" ref="AO36:AO67" si="14">AH36*AI36</f>
        <v>549130.66999999993</v>
      </c>
      <c r="AP36" s="117">
        <f t="shared" ref="AP36:AP65" si="15">U36+AB36</f>
        <v>0.1</v>
      </c>
      <c r="AQ36" s="118">
        <f t="shared" ref="AQ36:AQ67" si="16">AL36*AP36/(AG36+AE36)</f>
        <v>0.15723140157480317</v>
      </c>
      <c r="AR36" s="119" t="s">
        <v>783</v>
      </c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</row>
    <row r="37" spans="1:123">
      <c r="A37" s="248" t="s">
        <v>523</v>
      </c>
      <c r="B37" s="19" t="s">
        <v>317</v>
      </c>
      <c r="C37" s="21" t="s">
        <v>332</v>
      </c>
      <c r="D37" s="22">
        <v>1</v>
      </c>
      <c r="E37" s="23" t="s">
        <v>740</v>
      </c>
      <c r="F37" s="17"/>
      <c r="G37" s="24">
        <v>2770</v>
      </c>
      <c r="H37" s="17"/>
      <c r="I37" s="17"/>
      <c r="J37" s="25">
        <v>364</v>
      </c>
      <c r="K37" s="176" t="s">
        <v>548</v>
      </c>
      <c r="L37" s="176" t="s">
        <v>182</v>
      </c>
      <c r="M37" s="177" t="s">
        <v>579</v>
      </c>
      <c r="N37" s="190" t="s">
        <v>189</v>
      </c>
      <c r="O37" s="176" t="s">
        <v>760</v>
      </c>
      <c r="P37" s="149">
        <v>0</v>
      </c>
      <c r="Q37" s="178" t="s">
        <v>25</v>
      </c>
      <c r="R37" s="178" t="s">
        <v>26</v>
      </c>
      <c r="S37" s="177">
        <v>2027</v>
      </c>
      <c r="T37" s="179">
        <v>46752</v>
      </c>
      <c r="U37" s="180">
        <v>0.8</v>
      </c>
      <c r="V37" s="180"/>
      <c r="W37" s="181">
        <f t="shared" ref="W37:W68" si="17">SUM(U37:V37)</f>
        <v>0.8</v>
      </c>
      <c r="X37" s="180"/>
      <c r="Y37" s="180"/>
      <c r="Z37" s="180"/>
      <c r="AA37" s="182">
        <v>0.19800000000000001</v>
      </c>
      <c r="AB37" s="180">
        <v>0.19999999999999996</v>
      </c>
      <c r="AC37" s="113">
        <f t="shared" si="10"/>
        <v>214171.93975903612</v>
      </c>
      <c r="AD37" s="179"/>
      <c r="AE37" s="183">
        <f t="shared" ref="AE37:AE68" si="18">P37/10^6</f>
        <v>0</v>
      </c>
      <c r="AF37" s="182">
        <f t="shared" ref="AF37:AF65" si="19">IF(AL37=0,0,AE37/AL37)</f>
        <v>0</v>
      </c>
      <c r="AG37" s="184">
        <f t="shared" ref="AG37:AG68" si="20">(AH37*AI37*AJ37)/10^6</f>
        <v>31.697447084337345</v>
      </c>
      <c r="AH37" s="183">
        <v>148</v>
      </c>
      <c r="AI37" s="183">
        <v>428.34387951807224</v>
      </c>
      <c r="AJ37" s="183">
        <v>500</v>
      </c>
      <c r="AK37" s="183">
        <v>500</v>
      </c>
      <c r="AL37" s="184">
        <f t="shared" si="11"/>
        <v>107.08596987951806</v>
      </c>
      <c r="AM37" s="184">
        <f t="shared" si="12"/>
        <v>85.66877590361446</v>
      </c>
      <c r="AN37" s="151">
        <f t="shared" si="13"/>
        <v>214171.93975903612</v>
      </c>
      <c r="AO37" s="151">
        <f t="shared" si="14"/>
        <v>63394.894168674691</v>
      </c>
      <c r="AP37" s="152">
        <f t="shared" si="15"/>
        <v>1</v>
      </c>
      <c r="AQ37" s="153">
        <f t="shared" si="16"/>
        <v>3.3783783783783785</v>
      </c>
      <c r="AR37" s="185" t="s">
        <v>783</v>
      </c>
    </row>
    <row r="38" spans="1:123" s="120" customFormat="1">
      <c r="A38" s="254" t="s">
        <v>555</v>
      </c>
      <c r="B38" s="103" t="s">
        <v>543</v>
      </c>
      <c r="C38" s="103"/>
      <c r="D38" s="33">
        <v>1</v>
      </c>
      <c r="E38" s="34" t="s">
        <v>740</v>
      </c>
      <c r="F38" s="35"/>
      <c r="G38" s="36">
        <v>2177</v>
      </c>
      <c r="H38" s="35"/>
      <c r="I38" s="35"/>
      <c r="J38" s="37"/>
      <c r="K38" s="105" t="s">
        <v>548</v>
      </c>
      <c r="L38" s="105" t="s">
        <v>544</v>
      </c>
      <c r="M38" s="106" t="s">
        <v>578</v>
      </c>
      <c r="N38" s="154" t="s">
        <v>543</v>
      </c>
      <c r="O38" s="105" t="s">
        <v>760</v>
      </c>
      <c r="P38" s="107">
        <v>0</v>
      </c>
      <c r="Q38" s="108" t="s">
        <v>25</v>
      </c>
      <c r="R38" s="108" t="s">
        <v>759</v>
      </c>
      <c r="S38" s="106">
        <v>2027</v>
      </c>
      <c r="T38" s="109" t="s">
        <v>26</v>
      </c>
      <c r="U38" s="110">
        <v>0.8</v>
      </c>
      <c r="V38" s="110"/>
      <c r="W38" s="111">
        <f t="shared" si="17"/>
        <v>0.8</v>
      </c>
      <c r="X38" s="110"/>
      <c r="Y38" s="110"/>
      <c r="Z38" s="110"/>
      <c r="AA38" s="112">
        <v>0.19800000000000001</v>
      </c>
      <c r="AB38" s="110">
        <v>0.2</v>
      </c>
      <c r="AC38" s="113">
        <f t="shared" si="10"/>
        <v>363235.45</v>
      </c>
      <c r="AD38" s="109"/>
      <c r="AE38" s="114">
        <f t="shared" si="18"/>
        <v>0</v>
      </c>
      <c r="AF38" s="112">
        <f t="shared" si="19"/>
        <v>0</v>
      </c>
      <c r="AG38" s="115">
        <f t="shared" si="20"/>
        <v>48.346638394999999</v>
      </c>
      <c r="AH38" s="114">
        <v>133.1</v>
      </c>
      <c r="AI38" s="114">
        <v>215.57</v>
      </c>
      <c r="AJ38" s="114">
        <v>1685</v>
      </c>
      <c r="AK38" s="114">
        <v>380</v>
      </c>
      <c r="AL38" s="115">
        <f t="shared" si="11"/>
        <v>138.029471</v>
      </c>
      <c r="AM38" s="115">
        <f t="shared" si="12"/>
        <v>110.42357680000001</v>
      </c>
      <c r="AN38" s="116">
        <f t="shared" si="13"/>
        <v>81916.599999999991</v>
      </c>
      <c r="AO38" s="116">
        <f t="shared" si="14"/>
        <v>28692.366999999998</v>
      </c>
      <c r="AP38" s="117">
        <f t="shared" si="15"/>
        <v>1</v>
      </c>
      <c r="AQ38" s="118">
        <f t="shared" si="16"/>
        <v>2.8549962434259957</v>
      </c>
      <c r="AR38" s="119" t="s">
        <v>783</v>
      </c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</row>
    <row r="39" spans="1:123">
      <c r="A39" s="248" t="s">
        <v>438</v>
      </c>
      <c r="B39" s="19" t="s">
        <v>231</v>
      </c>
      <c r="C39" s="21" t="s">
        <v>396</v>
      </c>
      <c r="D39" s="22">
        <v>1</v>
      </c>
      <c r="E39" s="23" t="s">
        <v>740</v>
      </c>
      <c r="F39" s="17"/>
      <c r="G39" s="24">
        <v>2045</v>
      </c>
      <c r="H39" s="17"/>
      <c r="I39" s="17"/>
      <c r="J39" s="25">
        <v>194</v>
      </c>
      <c r="K39" s="176" t="s">
        <v>81</v>
      </c>
      <c r="L39" s="176" t="s">
        <v>82</v>
      </c>
      <c r="M39" s="177" t="s">
        <v>570</v>
      </c>
      <c r="N39" s="190" t="s">
        <v>83</v>
      </c>
      <c r="O39" s="176" t="s">
        <v>760</v>
      </c>
      <c r="P39" s="149">
        <v>0</v>
      </c>
      <c r="Q39" s="178" t="s">
        <v>25</v>
      </c>
      <c r="R39" s="178" t="s">
        <v>26</v>
      </c>
      <c r="S39" s="177">
        <v>2027</v>
      </c>
      <c r="T39" s="179">
        <v>46568</v>
      </c>
      <c r="U39" s="180">
        <v>0.53039999999999998</v>
      </c>
      <c r="V39" s="180">
        <v>0.33699999999999997</v>
      </c>
      <c r="W39" s="181">
        <f t="shared" si="17"/>
        <v>0.86739999999999995</v>
      </c>
      <c r="X39" s="180">
        <v>0.05</v>
      </c>
      <c r="Y39" s="180">
        <v>9.0000000000000011E-2</v>
      </c>
      <c r="Z39" s="180">
        <v>6.8000000000000005E-2</v>
      </c>
      <c r="AA39" s="182">
        <v>0.19800000000000001</v>
      </c>
      <c r="AB39" s="180">
        <v>0.13260000000000005</v>
      </c>
      <c r="AC39" s="113">
        <f t="shared" si="10"/>
        <v>169253.49220000001</v>
      </c>
      <c r="AD39" s="179"/>
      <c r="AE39" s="183">
        <f t="shared" si="18"/>
        <v>0</v>
      </c>
      <c r="AF39" s="182">
        <f t="shared" si="19"/>
        <v>0</v>
      </c>
      <c r="AG39" s="184">
        <f t="shared" si="20"/>
        <v>20.310419064000001</v>
      </c>
      <c r="AH39" s="183">
        <v>120</v>
      </c>
      <c r="AI39" s="183">
        <v>187.64245254988916</v>
      </c>
      <c r="AJ39" s="183">
        <v>902</v>
      </c>
      <c r="AK39" s="183">
        <v>426.10642216338272</v>
      </c>
      <c r="AL39" s="184">
        <f t="shared" si="11"/>
        <v>72.120000000000019</v>
      </c>
      <c r="AM39" s="184">
        <f t="shared" si="12"/>
        <v>38.252448000000008</v>
      </c>
      <c r="AN39" s="151">
        <f t="shared" si="13"/>
        <v>79955.654101995577</v>
      </c>
      <c r="AO39" s="151">
        <f t="shared" si="14"/>
        <v>22517.094305986699</v>
      </c>
      <c r="AP39" s="152">
        <f t="shared" si="15"/>
        <v>0.66300000000000003</v>
      </c>
      <c r="AQ39" s="153">
        <f t="shared" si="16"/>
        <v>2.3542379824526898</v>
      </c>
      <c r="AR39" s="185" t="s">
        <v>783</v>
      </c>
    </row>
    <row r="40" spans="1:123" s="120" customFormat="1">
      <c r="A40" s="247" t="s">
        <v>443</v>
      </c>
      <c r="B40" s="103" t="s">
        <v>238</v>
      </c>
      <c r="C40" s="104" t="s">
        <v>393</v>
      </c>
      <c r="D40" s="33">
        <v>1</v>
      </c>
      <c r="E40" s="34" t="s">
        <v>740</v>
      </c>
      <c r="F40" s="35"/>
      <c r="G40" s="36">
        <v>2046</v>
      </c>
      <c r="H40" s="35"/>
      <c r="I40" s="35"/>
      <c r="J40" s="37">
        <v>202</v>
      </c>
      <c r="K40" s="105" t="s">
        <v>81</v>
      </c>
      <c r="L40" s="105" t="s">
        <v>91</v>
      </c>
      <c r="M40" s="106" t="s">
        <v>581</v>
      </c>
      <c r="N40" s="154" t="s">
        <v>92</v>
      </c>
      <c r="O40" s="105" t="s">
        <v>756</v>
      </c>
      <c r="P40" s="107">
        <v>4000000</v>
      </c>
      <c r="Q40" s="108" t="s">
        <v>25</v>
      </c>
      <c r="R40" s="108" t="s">
        <v>26</v>
      </c>
      <c r="S40" s="106">
        <v>2027</v>
      </c>
      <c r="T40" s="109">
        <v>46568</v>
      </c>
      <c r="U40" s="110">
        <v>0.8</v>
      </c>
      <c r="V40" s="110"/>
      <c r="W40" s="111">
        <f t="shared" si="17"/>
        <v>0.8</v>
      </c>
      <c r="X40" s="110"/>
      <c r="Y40" s="110"/>
      <c r="Z40" s="110"/>
      <c r="AA40" s="112">
        <v>0.19800000000000001</v>
      </c>
      <c r="AB40" s="110">
        <v>0.19999999999999996</v>
      </c>
      <c r="AC40" s="113">
        <f t="shared" si="10"/>
        <v>389286.32415254239</v>
      </c>
      <c r="AD40" s="109"/>
      <c r="AE40" s="114">
        <f t="shared" si="18"/>
        <v>4</v>
      </c>
      <c r="AF40" s="112">
        <f t="shared" si="19"/>
        <v>2.3895844791481092E-2</v>
      </c>
      <c r="AG40" s="115">
        <f t="shared" si="20"/>
        <v>46.714358898305079</v>
      </c>
      <c r="AH40" s="114">
        <v>120</v>
      </c>
      <c r="AI40" s="114">
        <v>216.27018008474576</v>
      </c>
      <c r="AJ40" s="114">
        <v>1800</v>
      </c>
      <c r="AK40" s="114">
        <v>430</v>
      </c>
      <c r="AL40" s="115">
        <f t="shared" si="11"/>
        <v>167.3931193855932</v>
      </c>
      <c r="AM40" s="115">
        <f t="shared" si="12"/>
        <v>133.91449550847457</v>
      </c>
      <c r="AN40" s="116">
        <f t="shared" si="13"/>
        <v>92996.177436440674</v>
      </c>
      <c r="AO40" s="116">
        <f t="shared" si="14"/>
        <v>25952.421610169491</v>
      </c>
      <c r="AP40" s="117">
        <f t="shared" si="15"/>
        <v>1</v>
      </c>
      <c r="AQ40" s="118">
        <f t="shared" si="16"/>
        <v>3.300704633203746</v>
      </c>
      <c r="AR40" s="119" t="s">
        <v>783</v>
      </c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</row>
    <row r="41" spans="1:123">
      <c r="A41" s="248" t="s">
        <v>447</v>
      </c>
      <c r="B41" s="19" t="s">
        <v>538</v>
      </c>
      <c r="C41" s="21" t="s">
        <v>389</v>
      </c>
      <c r="D41" s="22">
        <v>1</v>
      </c>
      <c r="E41" s="23" t="s">
        <v>740</v>
      </c>
      <c r="F41" s="17" t="s">
        <v>541</v>
      </c>
      <c r="G41" s="24">
        <v>2052</v>
      </c>
      <c r="H41" s="17"/>
      <c r="I41" s="17"/>
      <c r="J41" s="25">
        <v>210</v>
      </c>
      <c r="K41" s="176" t="s">
        <v>93</v>
      </c>
      <c r="L41" s="176" t="s">
        <v>101</v>
      </c>
      <c r="M41" s="177" t="s">
        <v>580</v>
      </c>
      <c r="N41" s="190" t="s">
        <v>165</v>
      </c>
      <c r="O41" s="176" t="s">
        <v>760</v>
      </c>
      <c r="P41" s="149">
        <v>0</v>
      </c>
      <c r="Q41" s="178" t="s">
        <v>25</v>
      </c>
      <c r="R41" s="178" t="s">
        <v>759</v>
      </c>
      <c r="S41" s="177">
        <v>2027</v>
      </c>
      <c r="T41" s="179">
        <v>46660</v>
      </c>
      <c r="U41" s="180">
        <v>0.8</v>
      </c>
      <c r="V41" s="180">
        <v>0.19999999999999996</v>
      </c>
      <c r="W41" s="181">
        <f t="shared" si="17"/>
        <v>1</v>
      </c>
      <c r="X41" s="180">
        <v>0.05</v>
      </c>
      <c r="Y41" s="180">
        <v>0</v>
      </c>
      <c r="Z41" s="180">
        <v>6.8000000000000005E-2</v>
      </c>
      <c r="AA41" s="182">
        <v>0.19800000000000001</v>
      </c>
      <c r="AB41" s="180"/>
      <c r="AC41" s="113">
        <f t="shared" si="10"/>
        <v>306340</v>
      </c>
      <c r="AD41" s="179"/>
      <c r="AE41" s="183">
        <f t="shared" si="18"/>
        <v>0</v>
      </c>
      <c r="AF41" s="182">
        <f t="shared" si="19"/>
        <v>0</v>
      </c>
      <c r="AG41" s="184">
        <f t="shared" si="20"/>
        <v>36.760800000000003</v>
      </c>
      <c r="AH41" s="183">
        <v>120</v>
      </c>
      <c r="AI41" s="183">
        <v>265</v>
      </c>
      <c r="AJ41" s="183">
        <v>1156</v>
      </c>
      <c r="AK41" s="183">
        <v>500</v>
      </c>
      <c r="AL41" s="184">
        <f t="shared" si="11"/>
        <v>153.16999999999999</v>
      </c>
      <c r="AM41" s="184">
        <f t="shared" si="12"/>
        <v>122.536</v>
      </c>
      <c r="AN41" s="151">
        <f t="shared" si="13"/>
        <v>132500</v>
      </c>
      <c r="AO41" s="151">
        <f t="shared" si="14"/>
        <v>31800</v>
      </c>
      <c r="AP41" s="152">
        <f t="shared" si="15"/>
        <v>0.8</v>
      </c>
      <c r="AQ41" s="153">
        <f t="shared" si="16"/>
        <v>3.333333333333333</v>
      </c>
      <c r="AR41" s="185" t="s">
        <v>783</v>
      </c>
    </row>
    <row r="42" spans="1:123" s="120" customFormat="1">
      <c r="A42" s="247" t="s">
        <v>416</v>
      </c>
      <c r="B42" s="103" t="s">
        <v>191</v>
      </c>
      <c r="C42" s="104" t="s">
        <v>322</v>
      </c>
      <c r="D42" s="33">
        <v>1</v>
      </c>
      <c r="E42" s="34" t="s">
        <v>740</v>
      </c>
      <c r="F42" s="35"/>
      <c r="G42" s="36">
        <v>2116</v>
      </c>
      <c r="H42" s="35"/>
      <c r="I42" s="35"/>
      <c r="J42" s="37">
        <v>146</v>
      </c>
      <c r="K42" s="105" t="s">
        <v>22</v>
      </c>
      <c r="L42" s="105" t="s">
        <v>37</v>
      </c>
      <c r="M42" s="106" t="s">
        <v>567</v>
      </c>
      <c r="N42" s="154" t="s">
        <v>787</v>
      </c>
      <c r="O42" s="105" t="s">
        <v>756</v>
      </c>
      <c r="P42" s="122">
        <v>2372312.5</v>
      </c>
      <c r="Q42" s="108" t="s">
        <v>25</v>
      </c>
      <c r="R42" s="108" t="s">
        <v>777</v>
      </c>
      <c r="S42" s="106">
        <v>2027</v>
      </c>
      <c r="T42" s="109">
        <v>46752</v>
      </c>
      <c r="U42" s="110">
        <v>0.99</v>
      </c>
      <c r="V42" s="110"/>
      <c r="W42" s="111">
        <f t="shared" si="17"/>
        <v>0.99</v>
      </c>
      <c r="X42" s="110"/>
      <c r="Y42" s="110"/>
      <c r="Z42" s="110"/>
      <c r="AA42" s="112">
        <v>0.19800000000000001</v>
      </c>
      <c r="AB42" s="110">
        <v>1.0000000000000009E-2</v>
      </c>
      <c r="AC42" s="113">
        <f t="shared" si="10"/>
        <v>120780</v>
      </c>
      <c r="AD42" s="109"/>
      <c r="AE42" s="114">
        <f t="shared" si="18"/>
        <v>2.3723125</v>
      </c>
      <c r="AF42" s="112">
        <f t="shared" si="19"/>
        <v>4.5678140536127572E-2</v>
      </c>
      <c r="AG42" s="115">
        <f t="shared" si="20"/>
        <v>16.075818000000002</v>
      </c>
      <c r="AH42" s="114">
        <v>133.1</v>
      </c>
      <c r="AI42" s="114">
        <v>220</v>
      </c>
      <c r="AJ42" s="114">
        <v>549</v>
      </c>
      <c r="AK42" s="114">
        <v>430</v>
      </c>
      <c r="AL42" s="115">
        <f t="shared" si="11"/>
        <v>51.935400000000001</v>
      </c>
      <c r="AM42" s="115">
        <f t="shared" si="12"/>
        <v>51.416046000000001</v>
      </c>
      <c r="AN42" s="116">
        <f t="shared" si="13"/>
        <v>94600</v>
      </c>
      <c r="AO42" s="116">
        <f t="shared" si="14"/>
        <v>29282</v>
      </c>
      <c r="AP42" s="117">
        <f t="shared" si="15"/>
        <v>1</v>
      </c>
      <c r="AQ42" s="118">
        <f t="shared" si="16"/>
        <v>2.8152120888346923</v>
      </c>
      <c r="AR42" s="119" t="s">
        <v>783</v>
      </c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</row>
    <row r="43" spans="1:123">
      <c r="A43" s="248" t="s">
        <v>423</v>
      </c>
      <c r="B43" s="19" t="s">
        <v>648</v>
      </c>
      <c r="C43" s="21" t="s">
        <v>402</v>
      </c>
      <c r="D43" s="22">
        <v>1</v>
      </c>
      <c r="E43" s="23" t="s">
        <v>740</v>
      </c>
      <c r="F43" s="17"/>
      <c r="G43" s="24">
        <v>2584</v>
      </c>
      <c r="H43" s="17"/>
      <c r="I43" s="17"/>
      <c r="J43" s="25">
        <v>139</v>
      </c>
      <c r="K43" s="176" t="s">
        <v>22</v>
      </c>
      <c r="L43" s="176" t="s">
        <v>30</v>
      </c>
      <c r="M43" s="177" t="s">
        <v>567</v>
      </c>
      <c r="N43" s="190" t="s">
        <v>31</v>
      </c>
      <c r="O43" s="176" t="s">
        <v>756</v>
      </c>
      <c r="P43" s="149">
        <v>4000000</v>
      </c>
      <c r="Q43" s="178" t="s">
        <v>25</v>
      </c>
      <c r="R43" s="178" t="s">
        <v>759</v>
      </c>
      <c r="S43" s="177">
        <v>2027</v>
      </c>
      <c r="T43" s="179">
        <v>46752</v>
      </c>
      <c r="U43" s="180">
        <v>1</v>
      </c>
      <c r="V43" s="180"/>
      <c r="W43" s="181">
        <f t="shared" si="17"/>
        <v>1</v>
      </c>
      <c r="X43" s="180"/>
      <c r="Y43" s="180"/>
      <c r="Z43" s="180"/>
      <c r="AA43" s="182">
        <v>0.19800000000000001</v>
      </c>
      <c r="AB43" s="180"/>
      <c r="AC43" s="113">
        <f t="shared" si="10"/>
        <v>297407.69</v>
      </c>
      <c r="AD43" s="179"/>
      <c r="AE43" s="183">
        <f t="shared" si="18"/>
        <v>4</v>
      </c>
      <c r="AF43" s="182">
        <f t="shared" si="19"/>
        <v>2.2415918924849142E-2</v>
      </c>
      <c r="AG43" s="184">
        <f t="shared" si="20"/>
        <v>39.584963539</v>
      </c>
      <c r="AH43" s="183">
        <v>133.1</v>
      </c>
      <c r="AI43" s="183">
        <v>216.61157319737799</v>
      </c>
      <c r="AJ43" s="183">
        <v>1373</v>
      </c>
      <c r="AK43" s="183">
        <v>600</v>
      </c>
      <c r="AL43" s="184">
        <f t="shared" si="11"/>
        <v>178.444614</v>
      </c>
      <c r="AM43" s="184">
        <f t="shared" si="12"/>
        <v>178.444614</v>
      </c>
      <c r="AN43" s="151">
        <f t="shared" si="13"/>
        <v>129966.9439184268</v>
      </c>
      <c r="AO43" s="151">
        <f t="shared" si="14"/>
        <v>28831.000392571008</v>
      </c>
      <c r="AP43" s="152">
        <f t="shared" si="15"/>
        <v>1</v>
      </c>
      <c r="AQ43" s="153">
        <f t="shared" si="16"/>
        <v>4.0941783475470173</v>
      </c>
      <c r="AR43" s="185" t="s">
        <v>783</v>
      </c>
    </row>
    <row r="44" spans="1:123" s="120" customFormat="1">
      <c r="A44" s="247" t="s">
        <v>522</v>
      </c>
      <c r="B44" s="103" t="s">
        <v>310</v>
      </c>
      <c r="C44" s="104" t="s">
        <v>333</v>
      </c>
      <c r="D44" s="33">
        <v>1</v>
      </c>
      <c r="E44" s="34" t="s">
        <v>740</v>
      </c>
      <c r="F44" s="35"/>
      <c r="G44" s="36">
        <v>2773</v>
      </c>
      <c r="H44" s="35"/>
      <c r="I44" s="35"/>
      <c r="J44" s="37">
        <v>357</v>
      </c>
      <c r="K44" s="105" t="s">
        <v>22</v>
      </c>
      <c r="L44" s="105" t="s">
        <v>180</v>
      </c>
      <c r="M44" s="106" t="s">
        <v>567</v>
      </c>
      <c r="N44" s="154" t="s">
        <v>181</v>
      </c>
      <c r="O44" s="105" t="s">
        <v>760</v>
      </c>
      <c r="P44" s="107">
        <v>0</v>
      </c>
      <c r="Q44" s="108" t="s">
        <v>73</v>
      </c>
      <c r="R44" s="108" t="s">
        <v>26</v>
      </c>
      <c r="S44" s="106">
        <v>2027</v>
      </c>
      <c r="T44" s="109">
        <v>46598</v>
      </c>
      <c r="U44" s="110">
        <v>1</v>
      </c>
      <c r="V44" s="110"/>
      <c r="W44" s="111">
        <f t="shared" si="17"/>
        <v>1</v>
      </c>
      <c r="X44" s="110"/>
      <c r="Y44" s="110"/>
      <c r="Z44" s="110"/>
      <c r="AA44" s="112">
        <v>0.19800000000000001</v>
      </c>
      <c r="AB44" s="110"/>
      <c r="AC44" s="113">
        <f t="shared" si="10"/>
        <v>75000</v>
      </c>
      <c r="AD44" s="109"/>
      <c r="AE44" s="114">
        <f t="shared" si="18"/>
        <v>0</v>
      </c>
      <c r="AF44" s="112">
        <f t="shared" si="19"/>
        <v>0</v>
      </c>
      <c r="AG44" s="115">
        <f t="shared" si="20"/>
        <v>19.5</v>
      </c>
      <c r="AH44" s="114">
        <v>260</v>
      </c>
      <c r="AI44" s="114">
        <v>300</v>
      </c>
      <c r="AJ44" s="114">
        <v>250</v>
      </c>
      <c r="AK44" s="114">
        <v>700</v>
      </c>
      <c r="AL44" s="115">
        <f t="shared" si="11"/>
        <v>52.5</v>
      </c>
      <c r="AM44" s="115">
        <f t="shared" si="12"/>
        <v>52.5</v>
      </c>
      <c r="AN44" s="116">
        <f t="shared" si="13"/>
        <v>210000</v>
      </c>
      <c r="AO44" s="116">
        <f t="shared" si="14"/>
        <v>78000</v>
      </c>
      <c r="AP44" s="117">
        <f t="shared" si="15"/>
        <v>1</v>
      </c>
      <c r="AQ44" s="118">
        <f t="shared" si="16"/>
        <v>2.6923076923076925</v>
      </c>
      <c r="AR44" s="119" t="s">
        <v>783</v>
      </c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</row>
    <row r="45" spans="1:123">
      <c r="A45" s="248" t="s">
        <v>507</v>
      </c>
      <c r="B45" s="19" t="s">
        <v>281</v>
      </c>
      <c r="C45" s="21" t="s">
        <v>343</v>
      </c>
      <c r="D45" s="22">
        <v>1</v>
      </c>
      <c r="E45" s="23" t="s">
        <v>740</v>
      </c>
      <c r="F45" s="17"/>
      <c r="G45" s="24">
        <v>2106</v>
      </c>
      <c r="H45" s="17"/>
      <c r="I45" s="17"/>
      <c r="J45" s="25">
        <v>326</v>
      </c>
      <c r="K45" s="176" t="s">
        <v>159</v>
      </c>
      <c r="L45" s="176" t="s">
        <v>160</v>
      </c>
      <c r="M45" s="177" t="s">
        <v>576</v>
      </c>
      <c r="N45" s="190" t="s">
        <v>45</v>
      </c>
      <c r="O45" s="176" t="s">
        <v>756</v>
      </c>
      <c r="P45" s="149">
        <v>1436252.3</v>
      </c>
      <c r="Q45" s="178" t="s">
        <v>25</v>
      </c>
      <c r="R45" s="178" t="s">
        <v>759</v>
      </c>
      <c r="S45" s="177">
        <v>2027</v>
      </c>
      <c r="T45" s="179">
        <v>46752</v>
      </c>
      <c r="U45" s="180">
        <v>0.7</v>
      </c>
      <c r="V45" s="180">
        <v>0.30000000000000004</v>
      </c>
      <c r="W45" s="181">
        <f t="shared" si="17"/>
        <v>1</v>
      </c>
      <c r="X45" s="180">
        <v>0.05</v>
      </c>
      <c r="Y45" s="180">
        <v>9.0000000000000011E-2</v>
      </c>
      <c r="Z45" s="180">
        <v>6.8000000000000005E-2</v>
      </c>
      <c r="AA45" s="182">
        <v>0.19800000000000001</v>
      </c>
      <c r="AB45" s="180"/>
      <c r="AC45" s="113">
        <f t="shared" si="10"/>
        <v>495642.17999999993</v>
      </c>
      <c r="AD45" s="179"/>
      <c r="AE45" s="183">
        <f t="shared" si="18"/>
        <v>1.4362523</v>
      </c>
      <c r="AF45" s="182">
        <f t="shared" si="19"/>
        <v>5.7955208735463162E-3</v>
      </c>
      <c r="AG45" s="184">
        <f t="shared" si="20"/>
        <v>79.302748799999989</v>
      </c>
      <c r="AH45" s="183">
        <v>160</v>
      </c>
      <c r="AI45" s="183">
        <v>260.58999999999997</v>
      </c>
      <c r="AJ45" s="183">
        <v>1902</v>
      </c>
      <c r="AK45" s="183">
        <v>500</v>
      </c>
      <c r="AL45" s="184">
        <f t="shared" si="11"/>
        <v>247.82108999999997</v>
      </c>
      <c r="AM45" s="184">
        <f t="shared" si="12"/>
        <v>173.47476299999997</v>
      </c>
      <c r="AN45" s="151">
        <f t="shared" si="13"/>
        <v>130294.99999999999</v>
      </c>
      <c r="AO45" s="151">
        <f t="shared" si="14"/>
        <v>41694.399999999994</v>
      </c>
      <c r="AP45" s="152">
        <f t="shared" si="15"/>
        <v>0.7</v>
      </c>
      <c r="AQ45" s="153">
        <f t="shared" si="16"/>
        <v>2.1485869361343881</v>
      </c>
      <c r="AR45" s="185" t="s">
        <v>783</v>
      </c>
    </row>
    <row r="46" spans="1:123" s="120" customFormat="1">
      <c r="A46" s="247" t="s">
        <v>510</v>
      </c>
      <c r="B46" s="103" t="s">
        <v>293</v>
      </c>
      <c r="C46" s="104" t="s">
        <v>342</v>
      </c>
      <c r="D46" s="33">
        <v>1</v>
      </c>
      <c r="E46" s="34" t="s">
        <v>740</v>
      </c>
      <c r="F46" s="35"/>
      <c r="G46" s="36">
        <v>1865</v>
      </c>
      <c r="H46" s="35"/>
      <c r="I46" s="35"/>
      <c r="J46" s="37">
        <v>338</v>
      </c>
      <c r="K46" s="105" t="s">
        <v>159</v>
      </c>
      <c r="L46" s="105" t="s">
        <v>164</v>
      </c>
      <c r="M46" s="106" t="s">
        <v>577</v>
      </c>
      <c r="N46" s="154" t="s">
        <v>45</v>
      </c>
      <c r="O46" s="105" t="s">
        <v>760</v>
      </c>
      <c r="P46" s="107">
        <v>0</v>
      </c>
      <c r="Q46" s="108" t="s">
        <v>25</v>
      </c>
      <c r="R46" s="108" t="s">
        <v>759</v>
      </c>
      <c r="S46" s="106">
        <v>2027</v>
      </c>
      <c r="T46" s="109">
        <v>46660</v>
      </c>
      <c r="U46" s="110">
        <v>0.81</v>
      </c>
      <c r="V46" s="110">
        <v>0.18999999999999995</v>
      </c>
      <c r="W46" s="111">
        <f t="shared" si="17"/>
        <v>1</v>
      </c>
      <c r="X46" s="110">
        <v>0.05</v>
      </c>
      <c r="Y46" s="110">
        <v>0</v>
      </c>
      <c r="Z46" s="110">
        <v>6.8000000000000005E-2</v>
      </c>
      <c r="AA46" s="112">
        <v>0.19800000000000001</v>
      </c>
      <c r="AB46" s="110"/>
      <c r="AC46" s="113">
        <f t="shared" si="10"/>
        <v>240800</v>
      </c>
      <c r="AD46" s="109"/>
      <c r="AE46" s="114">
        <f t="shared" si="18"/>
        <v>0</v>
      </c>
      <c r="AF46" s="112">
        <f t="shared" si="19"/>
        <v>0</v>
      </c>
      <c r="AG46" s="115">
        <f t="shared" si="20"/>
        <v>32.026400000000002</v>
      </c>
      <c r="AH46" s="114">
        <v>133</v>
      </c>
      <c r="AI46" s="114">
        <v>215</v>
      </c>
      <c r="AJ46" s="114">
        <v>1120</v>
      </c>
      <c r="AK46" s="114">
        <v>450</v>
      </c>
      <c r="AL46" s="115">
        <f t="shared" si="11"/>
        <v>108.36</v>
      </c>
      <c r="AM46" s="115">
        <f t="shared" si="12"/>
        <v>87.771600000000007</v>
      </c>
      <c r="AN46" s="116">
        <f t="shared" si="13"/>
        <v>96750</v>
      </c>
      <c r="AO46" s="116">
        <f t="shared" si="14"/>
        <v>28595</v>
      </c>
      <c r="AP46" s="117">
        <f t="shared" si="15"/>
        <v>0.81</v>
      </c>
      <c r="AQ46" s="118">
        <f t="shared" si="16"/>
        <v>2.7406015037593985</v>
      </c>
      <c r="AR46" s="119" t="s">
        <v>783</v>
      </c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</row>
    <row r="47" spans="1:123">
      <c r="A47" s="248" t="s">
        <v>512</v>
      </c>
      <c r="B47" s="19" t="s">
        <v>295</v>
      </c>
      <c r="C47" s="21" t="s">
        <v>341</v>
      </c>
      <c r="D47" s="22">
        <v>1</v>
      </c>
      <c r="E47" s="23" t="s">
        <v>740</v>
      </c>
      <c r="F47" s="17"/>
      <c r="G47" s="24">
        <v>2107</v>
      </c>
      <c r="H47" s="17"/>
      <c r="I47" s="17"/>
      <c r="J47" s="25">
        <v>340</v>
      </c>
      <c r="K47" s="176" t="s">
        <v>159</v>
      </c>
      <c r="L47" s="176" t="s">
        <v>166</v>
      </c>
      <c r="M47" s="177" t="s">
        <v>577</v>
      </c>
      <c r="N47" s="190" t="s">
        <v>118</v>
      </c>
      <c r="O47" s="176" t="s">
        <v>756</v>
      </c>
      <c r="P47" s="149">
        <v>10682.93</v>
      </c>
      <c r="Q47" s="178" t="s">
        <v>25</v>
      </c>
      <c r="R47" s="178" t="s">
        <v>759</v>
      </c>
      <c r="S47" s="177">
        <v>2027</v>
      </c>
      <c r="T47" s="179">
        <v>46752</v>
      </c>
      <c r="U47" s="180">
        <v>0.7</v>
      </c>
      <c r="V47" s="180">
        <v>0.30000000000000004</v>
      </c>
      <c r="W47" s="181">
        <f t="shared" si="17"/>
        <v>1</v>
      </c>
      <c r="X47" s="180">
        <v>0.05</v>
      </c>
      <c r="Y47" s="180">
        <v>9.0000000000000011E-2</v>
      </c>
      <c r="Z47" s="180">
        <v>6.8000000000000005E-2</v>
      </c>
      <c r="AA47" s="182">
        <v>0.19800000000000001</v>
      </c>
      <c r="AB47" s="180"/>
      <c r="AC47" s="113">
        <f t="shared" si="10"/>
        <v>720845.32640000002</v>
      </c>
      <c r="AD47" s="179"/>
      <c r="AE47" s="183">
        <f t="shared" si="18"/>
        <v>1.068293E-2</v>
      </c>
      <c r="AF47" s="182">
        <f t="shared" si="19"/>
        <v>2.9640006278051386E-5</v>
      </c>
      <c r="AG47" s="184">
        <f t="shared" si="20"/>
        <v>95.872428411200005</v>
      </c>
      <c r="AH47" s="183">
        <v>133</v>
      </c>
      <c r="AI47" s="183">
        <v>324.12110000000001</v>
      </c>
      <c r="AJ47" s="183">
        <v>2224</v>
      </c>
      <c r="AK47" s="183">
        <v>500</v>
      </c>
      <c r="AL47" s="184">
        <f t="shared" si="11"/>
        <v>360.42266319999999</v>
      </c>
      <c r="AM47" s="184">
        <f t="shared" si="12"/>
        <v>252.29586423999999</v>
      </c>
      <c r="AN47" s="151">
        <f t="shared" si="13"/>
        <v>162060.55000000002</v>
      </c>
      <c r="AO47" s="151">
        <f t="shared" si="14"/>
        <v>43108.106299999999</v>
      </c>
      <c r="AP47" s="152">
        <f t="shared" si="15"/>
        <v>0.7</v>
      </c>
      <c r="AQ47" s="153">
        <f t="shared" si="16"/>
        <v>2.631285746894521</v>
      </c>
      <c r="AR47" s="185" t="s">
        <v>783</v>
      </c>
    </row>
    <row r="48" spans="1:123" s="120" customFormat="1">
      <c r="A48" s="247" t="s">
        <v>517</v>
      </c>
      <c r="B48" s="103" t="s">
        <v>304</v>
      </c>
      <c r="C48" s="104" t="s">
        <v>338</v>
      </c>
      <c r="D48" s="33">
        <v>1</v>
      </c>
      <c r="E48" s="34" t="s">
        <v>740</v>
      </c>
      <c r="F48" s="35"/>
      <c r="G48" s="36">
        <v>2102</v>
      </c>
      <c r="H48" s="35"/>
      <c r="I48" s="35"/>
      <c r="J48" s="37">
        <v>350</v>
      </c>
      <c r="K48" s="105" t="s">
        <v>159</v>
      </c>
      <c r="L48" s="105" t="s">
        <v>171</v>
      </c>
      <c r="M48" s="106" t="s">
        <v>578</v>
      </c>
      <c r="N48" s="154" t="s">
        <v>172</v>
      </c>
      <c r="O48" s="105" t="s">
        <v>760</v>
      </c>
      <c r="P48" s="107">
        <v>0</v>
      </c>
      <c r="Q48" s="108" t="s">
        <v>25</v>
      </c>
      <c r="R48" s="108" t="s">
        <v>759</v>
      </c>
      <c r="S48" s="106">
        <v>2027</v>
      </c>
      <c r="T48" s="109">
        <v>46752</v>
      </c>
      <c r="U48" s="110">
        <v>0.7</v>
      </c>
      <c r="V48" s="110">
        <v>0.30000000000000004</v>
      </c>
      <c r="W48" s="111">
        <f t="shared" si="17"/>
        <v>1</v>
      </c>
      <c r="X48" s="110">
        <v>0.05</v>
      </c>
      <c r="Y48" s="110">
        <v>9.0000000000000011E-2</v>
      </c>
      <c r="Z48" s="110">
        <v>6.8000000000000005E-2</v>
      </c>
      <c r="AA48" s="112">
        <v>0.19800000000000001</v>
      </c>
      <c r="AB48" s="110"/>
      <c r="AC48" s="113">
        <f t="shared" si="10"/>
        <v>227700</v>
      </c>
      <c r="AD48" s="109"/>
      <c r="AE48" s="114">
        <f t="shared" si="18"/>
        <v>0</v>
      </c>
      <c r="AF48" s="112">
        <f t="shared" si="19"/>
        <v>0</v>
      </c>
      <c r="AG48" s="115">
        <f t="shared" si="20"/>
        <v>30.284099999999999</v>
      </c>
      <c r="AH48" s="114">
        <v>133</v>
      </c>
      <c r="AI48" s="114">
        <v>220</v>
      </c>
      <c r="AJ48" s="114">
        <v>1035</v>
      </c>
      <c r="AK48" s="114">
        <v>477.57</v>
      </c>
      <c r="AL48" s="115">
        <f t="shared" si="11"/>
        <v>108.742689</v>
      </c>
      <c r="AM48" s="115">
        <f t="shared" si="12"/>
        <v>76.1198823</v>
      </c>
      <c r="AN48" s="116">
        <f t="shared" si="13"/>
        <v>105065.4</v>
      </c>
      <c r="AO48" s="116">
        <f t="shared" si="14"/>
        <v>29260</v>
      </c>
      <c r="AP48" s="117">
        <f t="shared" si="15"/>
        <v>0.7</v>
      </c>
      <c r="AQ48" s="118">
        <f t="shared" si="16"/>
        <v>2.5135263157894738</v>
      </c>
      <c r="AR48" s="119" t="s">
        <v>783</v>
      </c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</row>
    <row r="49" spans="1:123">
      <c r="A49" s="257" t="s">
        <v>558</v>
      </c>
      <c r="B49" s="19" t="s">
        <v>550</v>
      </c>
      <c r="C49" s="19"/>
      <c r="D49" s="22">
        <v>1</v>
      </c>
      <c r="E49" s="23" t="s">
        <v>739</v>
      </c>
      <c r="F49" s="17"/>
      <c r="G49" s="24">
        <v>2645</v>
      </c>
      <c r="H49" s="17"/>
      <c r="I49" s="17"/>
      <c r="J49" s="25"/>
      <c r="K49" s="176" t="s">
        <v>159</v>
      </c>
      <c r="L49" s="176" t="s">
        <v>551</v>
      </c>
      <c r="M49" s="177" t="s">
        <v>577</v>
      </c>
      <c r="N49" s="190" t="s">
        <v>24</v>
      </c>
      <c r="O49" s="176" t="s">
        <v>760</v>
      </c>
      <c r="P49" s="149">
        <v>0</v>
      </c>
      <c r="Q49" s="178" t="s">
        <v>73</v>
      </c>
      <c r="R49" s="178" t="s">
        <v>26</v>
      </c>
      <c r="S49" s="177">
        <v>2027</v>
      </c>
      <c r="T49" s="179"/>
      <c r="U49" s="180">
        <v>0.8</v>
      </c>
      <c r="V49" s="180">
        <v>0.2</v>
      </c>
      <c r="W49" s="181">
        <f t="shared" si="17"/>
        <v>1</v>
      </c>
      <c r="X49" s="180"/>
      <c r="Y49" s="180"/>
      <c r="Z49" s="180"/>
      <c r="AA49" s="182">
        <v>0.19800000000000001</v>
      </c>
      <c r="AB49" s="180"/>
      <c r="AC49" s="113">
        <f t="shared" si="10"/>
        <v>2062873.3333333333</v>
      </c>
      <c r="AD49" s="179"/>
      <c r="AE49" s="183">
        <f t="shared" si="18"/>
        <v>0</v>
      </c>
      <c r="AF49" s="182">
        <f t="shared" si="19"/>
        <v>0</v>
      </c>
      <c r="AG49" s="184">
        <f t="shared" si="20"/>
        <v>274.36215333333331</v>
      </c>
      <c r="AH49" s="183">
        <v>133</v>
      </c>
      <c r="AI49" s="183">
        <v>800</v>
      </c>
      <c r="AJ49" s="183">
        <v>2578.5916666666667</v>
      </c>
      <c r="AK49" s="183">
        <v>1400</v>
      </c>
      <c r="AL49" s="184">
        <f t="shared" si="11"/>
        <v>2888.0226666666672</v>
      </c>
      <c r="AM49" s="184">
        <f t="shared" si="12"/>
        <v>2310.418133333334</v>
      </c>
      <c r="AN49" s="151">
        <f t="shared" si="13"/>
        <v>1120000</v>
      </c>
      <c r="AO49" s="151">
        <f t="shared" si="14"/>
        <v>106400</v>
      </c>
      <c r="AP49" s="152">
        <f t="shared" si="15"/>
        <v>0.8</v>
      </c>
      <c r="AQ49" s="153">
        <f t="shared" si="16"/>
        <v>8.4210526315789505</v>
      </c>
      <c r="AR49" s="185" t="s">
        <v>783</v>
      </c>
    </row>
    <row r="50" spans="1:123" s="120" customFormat="1">
      <c r="A50" s="247" t="s">
        <v>743</v>
      </c>
      <c r="B50" s="103" t="s">
        <v>737</v>
      </c>
      <c r="C50" s="103"/>
      <c r="D50" s="33">
        <v>1</v>
      </c>
      <c r="E50" s="34" t="s">
        <v>739</v>
      </c>
      <c r="F50" s="35"/>
      <c r="G50" s="36">
        <v>2767</v>
      </c>
      <c r="H50" s="35"/>
      <c r="I50" s="35"/>
      <c r="J50" s="37"/>
      <c r="K50" s="105" t="s">
        <v>159</v>
      </c>
      <c r="L50" s="105" t="s">
        <v>741</v>
      </c>
      <c r="M50" s="106" t="s">
        <v>577</v>
      </c>
      <c r="N50" s="154" t="s">
        <v>24</v>
      </c>
      <c r="O50" s="105" t="s">
        <v>760</v>
      </c>
      <c r="P50" s="107">
        <v>0</v>
      </c>
      <c r="Q50" s="108" t="s">
        <v>25</v>
      </c>
      <c r="R50" s="108" t="s">
        <v>26</v>
      </c>
      <c r="S50" s="106">
        <v>2027</v>
      </c>
      <c r="T50" s="109" t="s">
        <v>26</v>
      </c>
      <c r="U50" s="110">
        <v>0.75</v>
      </c>
      <c r="V50" s="110">
        <v>0.25</v>
      </c>
      <c r="W50" s="111">
        <f t="shared" si="17"/>
        <v>1</v>
      </c>
      <c r="X50" s="110"/>
      <c r="Y50" s="110"/>
      <c r="Z50" s="110"/>
      <c r="AA50" s="112">
        <v>0.19800000000000001</v>
      </c>
      <c r="AB50" s="110"/>
      <c r="AC50" s="113">
        <f t="shared" si="10"/>
        <v>230939.46000000002</v>
      </c>
      <c r="AD50" s="109"/>
      <c r="AE50" s="114">
        <f t="shared" si="18"/>
        <v>0</v>
      </c>
      <c r="AF50" s="112">
        <f t="shared" si="19"/>
        <v>0</v>
      </c>
      <c r="AG50" s="115">
        <f t="shared" si="20"/>
        <v>30.71494818</v>
      </c>
      <c r="AH50" s="114">
        <v>133</v>
      </c>
      <c r="AI50" s="114">
        <v>200</v>
      </c>
      <c r="AJ50" s="114">
        <v>1154.6973</v>
      </c>
      <c r="AK50" s="114">
        <v>550</v>
      </c>
      <c r="AL50" s="115">
        <f t="shared" si="11"/>
        <v>127.01670300000001</v>
      </c>
      <c r="AM50" s="115">
        <f t="shared" si="12"/>
        <v>95.262527250000005</v>
      </c>
      <c r="AN50" s="116">
        <f t="shared" si="13"/>
        <v>110000</v>
      </c>
      <c r="AO50" s="116">
        <f t="shared" si="14"/>
        <v>26600</v>
      </c>
      <c r="AP50" s="117">
        <f t="shared" si="15"/>
        <v>0.75</v>
      </c>
      <c r="AQ50" s="118">
        <f t="shared" si="16"/>
        <v>3.1015037593984962</v>
      </c>
      <c r="AR50" s="119" t="s">
        <v>783</v>
      </c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</row>
    <row r="51" spans="1:123">
      <c r="A51" s="248" t="s">
        <v>744</v>
      </c>
      <c r="B51" s="19" t="s">
        <v>742</v>
      </c>
      <c r="C51" s="19"/>
      <c r="D51" s="22">
        <v>1</v>
      </c>
      <c r="E51" s="23" t="s">
        <v>739</v>
      </c>
      <c r="F51" s="17"/>
      <c r="G51" s="24">
        <v>2726</v>
      </c>
      <c r="H51" s="17"/>
      <c r="I51" s="17"/>
      <c r="J51" s="25"/>
      <c r="K51" s="176" t="s">
        <v>103</v>
      </c>
      <c r="L51" s="176" t="s">
        <v>107</v>
      </c>
      <c r="M51" s="177" t="s">
        <v>573</v>
      </c>
      <c r="N51" s="190" t="s">
        <v>799</v>
      </c>
      <c r="O51" s="176" t="s">
        <v>760</v>
      </c>
      <c r="P51" s="149">
        <v>0</v>
      </c>
      <c r="Q51" s="178" t="s">
        <v>25</v>
      </c>
      <c r="R51" s="178" t="s">
        <v>26</v>
      </c>
      <c r="S51" s="177">
        <v>2027</v>
      </c>
      <c r="T51" s="179">
        <v>46568</v>
      </c>
      <c r="U51" s="180">
        <v>0.67</v>
      </c>
      <c r="V51" s="180">
        <v>0.33</v>
      </c>
      <c r="W51" s="181">
        <f t="shared" si="17"/>
        <v>1</v>
      </c>
      <c r="X51" s="180"/>
      <c r="Y51" s="180"/>
      <c r="Z51" s="180"/>
      <c r="AA51" s="182">
        <v>0.19800000000000001</v>
      </c>
      <c r="AB51" s="180"/>
      <c r="AC51" s="113">
        <f t="shared" si="10"/>
        <v>225878.40000000002</v>
      </c>
      <c r="AD51" s="179"/>
      <c r="AE51" s="183">
        <f t="shared" si="18"/>
        <v>0</v>
      </c>
      <c r="AF51" s="182">
        <f t="shared" si="19"/>
        <v>0</v>
      </c>
      <c r="AG51" s="184">
        <f t="shared" si="20"/>
        <v>38.399327999999997</v>
      </c>
      <c r="AH51" s="183">
        <v>170</v>
      </c>
      <c r="AI51" s="183">
        <v>313.72000000000003</v>
      </c>
      <c r="AJ51" s="183">
        <v>720</v>
      </c>
      <c r="AK51" s="183">
        <v>700</v>
      </c>
      <c r="AL51" s="184">
        <f t="shared" si="11"/>
        <v>158.11488</v>
      </c>
      <c r="AM51" s="184">
        <f t="shared" si="12"/>
        <v>105.93696960000001</v>
      </c>
      <c r="AN51" s="151">
        <f t="shared" si="13"/>
        <v>219604.00000000003</v>
      </c>
      <c r="AO51" s="151">
        <f t="shared" si="14"/>
        <v>53332.4</v>
      </c>
      <c r="AP51" s="152">
        <f t="shared" si="15"/>
        <v>0.67</v>
      </c>
      <c r="AQ51" s="153">
        <f t="shared" si="16"/>
        <v>2.7588235294117651</v>
      </c>
      <c r="AR51" s="185" t="s">
        <v>783</v>
      </c>
    </row>
    <row r="52" spans="1:123" s="120" customFormat="1" ht="14.5">
      <c r="A52" s="247" t="s">
        <v>450</v>
      </c>
      <c r="B52" s="103" t="s">
        <v>638</v>
      </c>
      <c r="C52" s="194" t="s">
        <v>388</v>
      </c>
      <c r="D52" s="33">
        <v>1</v>
      </c>
      <c r="E52" s="34" t="s">
        <v>740</v>
      </c>
      <c r="F52" s="35"/>
      <c r="G52" s="36">
        <v>2567</v>
      </c>
      <c r="H52" s="35"/>
      <c r="I52" s="35"/>
      <c r="J52" s="37">
        <v>216</v>
      </c>
      <c r="K52" s="105" t="s">
        <v>103</v>
      </c>
      <c r="L52" s="105" t="s">
        <v>104</v>
      </c>
      <c r="M52" s="106" t="s">
        <v>572</v>
      </c>
      <c r="N52" s="154" t="s">
        <v>24</v>
      </c>
      <c r="O52" s="105" t="s">
        <v>760</v>
      </c>
      <c r="P52" s="107">
        <v>0</v>
      </c>
      <c r="Q52" s="108" t="s">
        <v>25</v>
      </c>
      <c r="R52" s="108" t="s">
        <v>26</v>
      </c>
      <c r="S52" s="106">
        <v>2027</v>
      </c>
      <c r="T52" s="109">
        <v>46660</v>
      </c>
      <c r="U52" s="110">
        <v>0.4844</v>
      </c>
      <c r="V52" s="110">
        <v>0.47158285153267154</v>
      </c>
      <c r="W52" s="111">
        <f t="shared" si="17"/>
        <v>0.9559828515326716</v>
      </c>
      <c r="X52" s="110">
        <v>0.05</v>
      </c>
      <c r="Y52" s="110">
        <v>0</v>
      </c>
      <c r="Z52" s="110">
        <v>6.8000000000000005E-2</v>
      </c>
      <c r="AA52" s="112">
        <v>0.19800000000000001</v>
      </c>
      <c r="AB52" s="110">
        <v>4.4017148467328404E-2</v>
      </c>
      <c r="AC52" s="113">
        <f t="shared" si="10"/>
        <v>182214</v>
      </c>
      <c r="AD52" s="109"/>
      <c r="AE52" s="114">
        <f t="shared" si="18"/>
        <v>0</v>
      </c>
      <c r="AF52" s="112">
        <f t="shared" si="19"/>
        <v>0</v>
      </c>
      <c r="AG52" s="115">
        <f t="shared" si="20"/>
        <v>29.700882</v>
      </c>
      <c r="AH52" s="114">
        <v>163</v>
      </c>
      <c r="AI52" s="114">
        <v>240.07114624505928</v>
      </c>
      <c r="AJ52" s="114">
        <v>759</v>
      </c>
      <c r="AK52" s="114">
        <v>680</v>
      </c>
      <c r="AL52" s="115">
        <f t="shared" si="11"/>
        <v>123.90552</v>
      </c>
      <c r="AM52" s="115">
        <f t="shared" si="12"/>
        <v>60.019833888000001</v>
      </c>
      <c r="AN52" s="116">
        <f t="shared" si="13"/>
        <v>163248.37944664032</v>
      </c>
      <c r="AO52" s="116">
        <f t="shared" si="14"/>
        <v>39131.596837944664</v>
      </c>
      <c r="AP52" s="117">
        <f t="shared" si="15"/>
        <v>0.52841714846732835</v>
      </c>
      <c r="AQ52" s="118">
        <f t="shared" si="16"/>
        <v>2.2044396377778113</v>
      </c>
      <c r="AR52" s="119" t="s">
        <v>783</v>
      </c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</row>
    <row r="53" spans="1:123">
      <c r="A53" s="248" t="s">
        <v>457</v>
      </c>
      <c r="B53" s="19" t="s">
        <v>257</v>
      </c>
      <c r="C53" s="21" t="s">
        <v>381</v>
      </c>
      <c r="D53" s="22">
        <v>1</v>
      </c>
      <c r="E53" s="23" t="s">
        <v>740</v>
      </c>
      <c r="F53" s="17"/>
      <c r="G53" s="24">
        <v>2275</v>
      </c>
      <c r="H53" s="17"/>
      <c r="I53" s="17"/>
      <c r="J53" s="25">
        <v>231</v>
      </c>
      <c r="K53" s="176" t="s">
        <v>103</v>
      </c>
      <c r="L53" s="176" t="s">
        <v>115</v>
      </c>
      <c r="M53" s="177" t="s">
        <v>574</v>
      </c>
      <c r="N53" s="190" t="s">
        <v>116</v>
      </c>
      <c r="O53" s="176" t="s">
        <v>756</v>
      </c>
      <c r="P53" s="149">
        <v>12546881.199999999</v>
      </c>
      <c r="Q53" s="178" t="s">
        <v>73</v>
      </c>
      <c r="R53" s="178" t="s">
        <v>26</v>
      </c>
      <c r="S53" s="177">
        <v>2027</v>
      </c>
      <c r="T53" s="179">
        <v>46660</v>
      </c>
      <c r="U53" s="180">
        <v>0.57336200000000004</v>
      </c>
      <c r="V53" s="180">
        <v>0.1399999999999999</v>
      </c>
      <c r="W53" s="181">
        <f t="shared" si="17"/>
        <v>0.71336199999999994</v>
      </c>
      <c r="X53" s="180">
        <v>0.05</v>
      </c>
      <c r="Y53" s="180">
        <v>0</v>
      </c>
      <c r="Z53" s="180">
        <v>6.8000000000000005E-2</v>
      </c>
      <c r="AA53" s="182">
        <v>0.19800000000000001</v>
      </c>
      <c r="AB53" s="180">
        <v>0.28663800000000006</v>
      </c>
      <c r="AC53" s="113">
        <f t="shared" si="10"/>
        <v>135500</v>
      </c>
      <c r="AD53" s="179"/>
      <c r="AE53" s="183">
        <f t="shared" si="18"/>
        <v>12.5468812</v>
      </c>
      <c r="AF53" s="182">
        <f t="shared" si="19"/>
        <v>8.4179008386447499E-2</v>
      </c>
      <c r="AG53" s="184">
        <f t="shared" si="20"/>
        <v>40.649999999999991</v>
      </c>
      <c r="AH53" s="183">
        <v>300</v>
      </c>
      <c r="AI53" s="183">
        <v>180.18617021276594</v>
      </c>
      <c r="AJ53" s="183">
        <v>752</v>
      </c>
      <c r="AK53" s="183">
        <v>1100</v>
      </c>
      <c r="AL53" s="184">
        <f t="shared" si="11"/>
        <v>149.05000000000001</v>
      </c>
      <c r="AM53" s="184">
        <f t="shared" si="12"/>
        <v>85.459606100000016</v>
      </c>
      <c r="AN53" s="151">
        <f t="shared" si="13"/>
        <v>198204.78723404254</v>
      </c>
      <c r="AO53" s="151">
        <f t="shared" si="14"/>
        <v>54055.851063829781</v>
      </c>
      <c r="AP53" s="152">
        <f t="shared" si="15"/>
        <v>0.8600000000000001</v>
      </c>
      <c r="AQ53" s="153">
        <f t="shared" si="16"/>
        <v>2.4095961475275365</v>
      </c>
      <c r="AR53" s="185" t="s">
        <v>783</v>
      </c>
    </row>
    <row r="54" spans="1:123" s="120" customFormat="1">
      <c r="A54" s="247" t="s">
        <v>465</v>
      </c>
      <c r="B54" s="103" t="s">
        <v>262</v>
      </c>
      <c r="C54" s="104" t="s">
        <v>376</v>
      </c>
      <c r="D54" s="33">
        <v>1</v>
      </c>
      <c r="E54" s="34" t="s">
        <v>740</v>
      </c>
      <c r="F54" s="35"/>
      <c r="G54" s="36">
        <v>2286</v>
      </c>
      <c r="H54" s="35"/>
      <c r="I54" s="35"/>
      <c r="J54" s="37">
        <v>249</v>
      </c>
      <c r="K54" s="105" t="s">
        <v>103</v>
      </c>
      <c r="L54" s="105" t="s">
        <v>124</v>
      </c>
      <c r="M54" s="106" t="s">
        <v>583</v>
      </c>
      <c r="N54" s="154" t="s">
        <v>118</v>
      </c>
      <c r="O54" s="105" t="s">
        <v>760</v>
      </c>
      <c r="P54" s="107">
        <v>0</v>
      </c>
      <c r="Q54" s="108" t="s">
        <v>25</v>
      </c>
      <c r="R54" s="108" t="s">
        <v>759</v>
      </c>
      <c r="S54" s="106">
        <v>2027</v>
      </c>
      <c r="T54" s="109">
        <v>46477</v>
      </c>
      <c r="U54" s="110">
        <v>0.45</v>
      </c>
      <c r="V54" s="110">
        <v>0.5</v>
      </c>
      <c r="W54" s="111">
        <f t="shared" si="17"/>
        <v>0.95</v>
      </c>
      <c r="X54" s="110">
        <v>0.05</v>
      </c>
      <c r="Y54" s="110">
        <v>9.0000000000000011E-2</v>
      </c>
      <c r="Z54" s="110">
        <v>6.8000000000000005E-2</v>
      </c>
      <c r="AA54" s="112">
        <v>0.19800000000000001</v>
      </c>
      <c r="AB54" s="110">
        <v>5.0000000000000044E-2</v>
      </c>
      <c r="AC54" s="113">
        <f t="shared" si="10"/>
        <v>331215.05</v>
      </c>
      <c r="AD54" s="109"/>
      <c r="AE54" s="114">
        <f t="shared" si="18"/>
        <v>0</v>
      </c>
      <c r="AF54" s="112">
        <f t="shared" si="19"/>
        <v>0</v>
      </c>
      <c r="AG54" s="115">
        <f t="shared" si="20"/>
        <v>53.988053150000006</v>
      </c>
      <c r="AH54" s="114">
        <v>163</v>
      </c>
      <c r="AI54" s="114">
        <v>299.20058717253841</v>
      </c>
      <c r="AJ54" s="114">
        <v>1107</v>
      </c>
      <c r="AK54" s="114">
        <v>500</v>
      </c>
      <c r="AL54" s="115">
        <f t="shared" si="11"/>
        <v>165.60752500000001</v>
      </c>
      <c r="AM54" s="115">
        <f t="shared" si="12"/>
        <v>74.523386250000001</v>
      </c>
      <c r="AN54" s="116">
        <f t="shared" si="13"/>
        <v>149600.2935862692</v>
      </c>
      <c r="AO54" s="116">
        <f t="shared" si="14"/>
        <v>48769.695709123764</v>
      </c>
      <c r="AP54" s="117">
        <f t="shared" si="15"/>
        <v>0.5</v>
      </c>
      <c r="AQ54" s="118">
        <f t="shared" si="16"/>
        <v>1.5337423312883436</v>
      </c>
      <c r="AR54" s="119" t="s">
        <v>783</v>
      </c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</row>
    <row r="55" spans="1:123">
      <c r="A55" s="248" t="s">
        <v>472</v>
      </c>
      <c r="B55" s="19" t="s">
        <v>274</v>
      </c>
      <c r="C55" s="21" t="s">
        <v>371</v>
      </c>
      <c r="D55" s="22">
        <v>1</v>
      </c>
      <c r="E55" s="23" t="s">
        <v>740</v>
      </c>
      <c r="F55" s="17"/>
      <c r="G55" s="24">
        <v>2272</v>
      </c>
      <c r="H55" s="17"/>
      <c r="I55" s="17"/>
      <c r="J55" s="25">
        <v>261</v>
      </c>
      <c r="K55" s="176" t="s">
        <v>103</v>
      </c>
      <c r="L55" s="176" t="s">
        <v>132</v>
      </c>
      <c r="M55" s="177" t="s">
        <v>583</v>
      </c>
      <c r="N55" s="190" t="s">
        <v>133</v>
      </c>
      <c r="O55" s="176" t="s">
        <v>760</v>
      </c>
      <c r="P55" s="149">
        <v>0</v>
      </c>
      <c r="Q55" s="178" t="s">
        <v>25</v>
      </c>
      <c r="R55" s="178" t="s">
        <v>759</v>
      </c>
      <c r="S55" s="177">
        <v>2027</v>
      </c>
      <c r="T55" s="179">
        <v>46660</v>
      </c>
      <c r="U55" s="180">
        <v>0.64168999999999998</v>
      </c>
      <c r="V55" s="180">
        <v>0.30000000000000004</v>
      </c>
      <c r="W55" s="181">
        <f t="shared" si="17"/>
        <v>0.94169000000000003</v>
      </c>
      <c r="X55" s="180">
        <v>0.05</v>
      </c>
      <c r="Y55" s="180">
        <v>9.0000000000000011E-2</v>
      </c>
      <c r="Z55" s="180">
        <v>6.8000000000000005E-2</v>
      </c>
      <c r="AA55" s="182">
        <v>0.19800000000000001</v>
      </c>
      <c r="AB55" s="180">
        <v>5.8309999999999973E-2</v>
      </c>
      <c r="AC55" s="113">
        <f t="shared" si="10"/>
        <v>151810</v>
      </c>
      <c r="AD55" s="179"/>
      <c r="AE55" s="183">
        <f t="shared" si="18"/>
        <v>0</v>
      </c>
      <c r="AF55" s="182">
        <f t="shared" si="19"/>
        <v>0</v>
      </c>
      <c r="AG55" s="184">
        <f t="shared" si="20"/>
        <v>24.74503</v>
      </c>
      <c r="AH55" s="183">
        <v>163</v>
      </c>
      <c r="AI55" s="183">
        <v>170</v>
      </c>
      <c r="AJ55" s="183">
        <v>893</v>
      </c>
      <c r="AK55" s="183">
        <v>650</v>
      </c>
      <c r="AL55" s="184">
        <f t="shared" si="11"/>
        <v>98.676500000000004</v>
      </c>
      <c r="AM55" s="184">
        <f t="shared" si="12"/>
        <v>63.319723285000002</v>
      </c>
      <c r="AN55" s="151">
        <f t="shared" si="13"/>
        <v>110500</v>
      </c>
      <c r="AO55" s="151">
        <f t="shared" si="14"/>
        <v>27710</v>
      </c>
      <c r="AP55" s="152">
        <f t="shared" si="15"/>
        <v>0.7</v>
      </c>
      <c r="AQ55" s="153">
        <f t="shared" si="16"/>
        <v>2.7914110429447851</v>
      </c>
      <c r="AR55" s="185" t="s">
        <v>783</v>
      </c>
    </row>
    <row r="56" spans="1:123" s="120" customFormat="1">
      <c r="A56" s="247" t="s">
        <v>479</v>
      </c>
      <c r="B56" s="103" t="s">
        <v>658</v>
      </c>
      <c r="C56" s="104" t="s">
        <v>364</v>
      </c>
      <c r="D56" s="33">
        <v>1</v>
      </c>
      <c r="E56" s="34" t="s">
        <v>740</v>
      </c>
      <c r="F56" s="35"/>
      <c r="G56" s="36">
        <v>2372</v>
      </c>
      <c r="H56" s="35"/>
      <c r="I56" s="35"/>
      <c r="J56" s="37">
        <v>272</v>
      </c>
      <c r="K56" s="105" t="s">
        <v>143</v>
      </c>
      <c r="L56" s="105" t="s">
        <v>144</v>
      </c>
      <c r="M56" s="106" t="s">
        <v>575</v>
      </c>
      <c r="N56" s="154" t="s">
        <v>592</v>
      </c>
      <c r="O56" s="105" t="s">
        <v>760</v>
      </c>
      <c r="P56" s="107">
        <v>0</v>
      </c>
      <c r="Q56" s="108" t="s">
        <v>25</v>
      </c>
      <c r="R56" s="108" t="s">
        <v>759</v>
      </c>
      <c r="S56" s="106">
        <v>2027</v>
      </c>
      <c r="T56" s="109">
        <v>46752</v>
      </c>
      <c r="U56" s="110">
        <v>0.57199999999999995</v>
      </c>
      <c r="V56" s="110">
        <v>0.28500000000000003</v>
      </c>
      <c r="W56" s="111">
        <f t="shared" si="17"/>
        <v>0.85699999999999998</v>
      </c>
      <c r="X56" s="110">
        <v>7.0000000000000007E-2</v>
      </c>
      <c r="Y56" s="110">
        <v>0</v>
      </c>
      <c r="Z56" s="110">
        <v>6.8000000000000005E-2</v>
      </c>
      <c r="AA56" s="112">
        <v>0.19800000000000001</v>
      </c>
      <c r="AB56" s="110">
        <v>0.14300000000000002</v>
      </c>
      <c r="AC56" s="113">
        <f t="shared" si="10"/>
        <v>130240</v>
      </c>
      <c r="AD56" s="109"/>
      <c r="AE56" s="114">
        <f t="shared" si="18"/>
        <v>0</v>
      </c>
      <c r="AF56" s="112">
        <f t="shared" si="19"/>
        <v>0</v>
      </c>
      <c r="AG56" s="115">
        <f t="shared" si="20"/>
        <v>22.792000000000002</v>
      </c>
      <c r="AH56" s="114">
        <v>175</v>
      </c>
      <c r="AI56" s="114">
        <v>220</v>
      </c>
      <c r="AJ56" s="114">
        <v>592</v>
      </c>
      <c r="AK56" s="114">
        <v>600</v>
      </c>
      <c r="AL56" s="115">
        <f t="shared" si="11"/>
        <v>78.144000000000005</v>
      </c>
      <c r="AM56" s="115">
        <f t="shared" si="12"/>
        <v>44.698368000000002</v>
      </c>
      <c r="AN56" s="116">
        <f t="shared" si="13"/>
        <v>132000</v>
      </c>
      <c r="AO56" s="116">
        <f t="shared" si="14"/>
        <v>38500</v>
      </c>
      <c r="AP56" s="117">
        <f t="shared" si="15"/>
        <v>0.71499999999999997</v>
      </c>
      <c r="AQ56" s="118">
        <f t="shared" si="16"/>
        <v>2.4514285714285711</v>
      </c>
      <c r="AR56" s="119" t="s">
        <v>783</v>
      </c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</row>
    <row r="57" spans="1:123">
      <c r="A57" s="248" t="s">
        <v>526</v>
      </c>
      <c r="B57" s="19" t="s">
        <v>675</v>
      </c>
      <c r="C57" s="21" t="s">
        <v>360</v>
      </c>
      <c r="D57" s="22">
        <v>1</v>
      </c>
      <c r="E57" s="23" t="s">
        <v>740</v>
      </c>
      <c r="F57" s="17"/>
      <c r="G57" s="24">
        <v>2394</v>
      </c>
      <c r="H57" s="17"/>
      <c r="I57" s="17"/>
      <c r="J57" s="25">
        <v>294</v>
      </c>
      <c r="K57" s="176" t="s">
        <v>143</v>
      </c>
      <c r="L57" s="176" t="s">
        <v>147</v>
      </c>
      <c r="M57" s="177" t="s">
        <v>575</v>
      </c>
      <c r="N57" s="190" t="s">
        <v>847</v>
      </c>
      <c r="O57" s="176" t="s">
        <v>760</v>
      </c>
      <c r="P57" s="149">
        <v>0</v>
      </c>
      <c r="Q57" s="178" t="s">
        <v>25</v>
      </c>
      <c r="R57" s="178" t="s">
        <v>759</v>
      </c>
      <c r="S57" s="177">
        <v>2027</v>
      </c>
      <c r="T57" s="179">
        <v>46751</v>
      </c>
      <c r="U57" s="180">
        <v>0.54400000000000004</v>
      </c>
      <c r="V57" s="180">
        <v>0.31999999999999995</v>
      </c>
      <c r="W57" s="181">
        <f t="shared" si="17"/>
        <v>0.86399999999999999</v>
      </c>
      <c r="X57" s="180">
        <v>7.0000000000000007E-2</v>
      </c>
      <c r="Y57" s="180">
        <v>9.5000000000000001E-2</v>
      </c>
      <c r="Z57" s="180">
        <v>6.8000000000000005E-2</v>
      </c>
      <c r="AA57" s="182">
        <v>0.19800000000000001</v>
      </c>
      <c r="AB57" s="180">
        <v>0.13600000000000001</v>
      </c>
      <c r="AC57" s="113">
        <f t="shared" si="10"/>
        <v>191004.48</v>
      </c>
      <c r="AD57" s="179"/>
      <c r="AE57" s="183">
        <f t="shared" si="18"/>
        <v>0</v>
      </c>
      <c r="AF57" s="182">
        <f t="shared" si="19"/>
        <v>0</v>
      </c>
      <c r="AG57" s="184">
        <f t="shared" si="20"/>
        <v>33.425784</v>
      </c>
      <c r="AH57" s="183">
        <v>175</v>
      </c>
      <c r="AI57" s="183">
        <v>314.15210526315792</v>
      </c>
      <c r="AJ57" s="183">
        <v>608</v>
      </c>
      <c r="AK57" s="183">
        <v>700</v>
      </c>
      <c r="AL57" s="184">
        <f t="shared" si="11"/>
        <v>133.70313600000003</v>
      </c>
      <c r="AM57" s="184">
        <f t="shared" si="12"/>
        <v>72.734505984000023</v>
      </c>
      <c r="AN57" s="151">
        <f t="shared" si="13"/>
        <v>219906.47368421053</v>
      </c>
      <c r="AO57" s="151">
        <f t="shared" si="14"/>
        <v>54976.618421052633</v>
      </c>
      <c r="AP57" s="152">
        <f t="shared" si="15"/>
        <v>0.68</v>
      </c>
      <c r="AQ57" s="153">
        <f t="shared" si="16"/>
        <v>2.7200000000000006</v>
      </c>
      <c r="AR57" s="185" t="s">
        <v>783</v>
      </c>
    </row>
    <row r="58" spans="1:123" s="120" customFormat="1">
      <c r="A58" s="247" t="s">
        <v>487</v>
      </c>
      <c r="B58" s="103" t="s">
        <v>678</v>
      </c>
      <c r="C58" s="104" t="s">
        <v>354</v>
      </c>
      <c r="D58" s="33">
        <v>1</v>
      </c>
      <c r="E58" s="34" t="s">
        <v>740</v>
      </c>
      <c r="F58" s="35"/>
      <c r="G58" s="36">
        <v>2375</v>
      </c>
      <c r="H58" s="35"/>
      <c r="I58" s="35"/>
      <c r="J58" s="37">
        <v>299</v>
      </c>
      <c r="K58" s="105" t="s">
        <v>143</v>
      </c>
      <c r="L58" s="105" t="s">
        <v>149</v>
      </c>
      <c r="M58" s="106" t="s">
        <v>575</v>
      </c>
      <c r="N58" s="154" t="s">
        <v>615</v>
      </c>
      <c r="O58" s="105" t="s">
        <v>760</v>
      </c>
      <c r="P58" s="107">
        <v>0</v>
      </c>
      <c r="Q58" s="108" t="s">
        <v>25</v>
      </c>
      <c r="R58" s="108" t="s">
        <v>759</v>
      </c>
      <c r="S58" s="106">
        <v>2027</v>
      </c>
      <c r="T58" s="109">
        <v>46568</v>
      </c>
      <c r="U58" s="110">
        <v>0.4</v>
      </c>
      <c r="V58" s="110"/>
      <c r="W58" s="111">
        <f t="shared" si="17"/>
        <v>0.4</v>
      </c>
      <c r="X58" s="110">
        <v>7.0000000000000007E-2</v>
      </c>
      <c r="Y58" s="110">
        <v>9.5000000000000001E-2</v>
      </c>
      <c r="Z58" s="110">
        <v>6.8000000000000005E-2</v>
      </c>
      <c r="AA58" s="112">
        <v>0.19800000000000001</v>
      </c>
      <c r="AB58" s="110">
        <v>0.6</v>
      </c>
      <c r="AC58" s="113">
        <f t="shared" si="10"/>
        <v>273025</v>
      </c>
      <c r="AD58" s="109"/>
      <c r="AE58" s="114">
        <f t="shared" si="18"/>
        <v>0</v>
      </c>
      <c r="AF58" s="112">
        <f t="shared" si="19"/>
        <v>0</v>
      </c>
      <c r="AG58" s="115">
        <f t="shared" si="20"/>
        <v>47.779375000000002</v>
      </c>
      <c r="AH58" s="114">
        <v>175</v>
      </c>
      <c r="AI58" s="114">
        <v>335</v>
      </c>
      <c r="AJ58" s="114">
        <v>815</v>
      </c>
      <c r="AK58" s="114">
        <v>750</v>
      </c>
      <c r="AL58" s="115">
        <f t="shared" si="11"/>
        <v>204.76875000000001</v>
      </c>
      <c r="AM58" s="115">
        <f t="shared" si="12"/>
        <v>81.907500000000013</v>
      </c>
      <c r="AN58" s="116">
        <f t="shared" si="13"/>
        <v>251250</v>
      </c>
      <c r="AO58" s="116">
        <f t="shared" si="14"/>
        <v>58625</v>
      </c>
      <c r="AP58" s="117">
        <f t="shared" si="15"/>
        <v>1</v>
      </c>
      <c r="AQ58" s="118">
        <f t="shared" si="16"/>
        <v>4.2857142857142856</v>
      </c>
      <c r="AR58" s="119" t="s">
        <v>783</v>
      </c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</row>
    <row r="59" spans="1:123">
      <c r="A59" s="248" t="s">
        <v>493</v>
      </c>
      <c r="B59" s="19" t="s">
        <v>684</v>
      </c>
      <c r="C59" s="21" t="s">
        <v>352</v>
      </c>
      <c r="D59" s="22">
        <v>1</v>
      </c>
      <c r="E59" s="23" t="s">
        <v>740</v>
      </c>
      <c r="F59" s="17"/>
      <c r="G59" s="24">
        <v>2373</v>
      </c>
      <c r="H59" s="17"/>
      <c r="I59" s="17"/>
      <c r="J59" s="25">
        <v>305</v>
      </c>
      <c r="K59" s="176" t="s">
        <v>143</v>
      </c>
      <c r="L59" s="176" t="s">
        <v>150</v>
      </c>
      <c r="M59" s="177" t="s">
        <v>575</v>
      </c>
      <c r="N59" s="190" t="s">
        <v>603</v>
      </c>
      <c r="O59" s="176" t="s">
        <v>760</v>
      </c>
      <c r="P59" s="149">
        <v>0</v>
      </c>
      <c r="Q59" s="178" t="s">
        <v>25</v>
      </c>
      <c r="R59" s="178" t="s">
        <v>26</v>
      </c>
      <c r="S59" s="177">
        <v>2027</v>
      </c>
      <c r="T59" s="179">
        <v>46568</v>
      </c>
      <c r="U59" s="180">
        <v>0.59179999999999999</v>
      </c>
      <c r="V59" s="180">
        <v>0.26029999999999998</v>
      </c>
      <c r="W59" s="181">
        <f t="shared" si="17"/>
        <v>0.85209999999999997</v>
      </c>
      <c r="X59" s="180">
        <v>7.0000000000000007E-2</v>
      </c>
      <c r="Y59" s="180">
        <v>9.5000000000000001E-2</v>
      </c>
      <c r="Z59" s="180">
        <v>6.8000000000000005E-2</v>
      </c>
      <c r="AA59" s="182">
        <v>0.19800000000000001</v>
      </c>
      <c r="AB59" s="180">
        <v>0.14790000000000003</v>
      </c>
      <c r="AC59" s="113">
        <f t="shared" si="10"/>
        <v>375000</v>
      </c>
      <c r="AD59" s="179"/>
      <c r="AE59" s="183">
        <f t="shared" si="18"/>
        <v>0</v>
      </c>
      <c r="AF59" s="182">
        <f t="shared" si="19"/>
        <v>0</v>
      </c>
      <c r="AG59" s="184">
        <f t="shared" si="20"/>
        <v>65.625</v>
      </c>
      <c r="AH59" s="183">
        <v>175</v>
      </c>
      <c r="AI59" s="183">
        <v>400</v>
      </c>
      <c r="AJ59" s="183">
        <v>937.5</v>
      </c>
      <c r="AK59" s="183">
        <v>800</v>
      </c>
      <c r="AL59" s="184">
        <f t="shared" si="11"/>
        <v>300</v>
      </c>
      <c r="AM59" s="184">
        <f t="shared" si="12"/>
        <v>177.54</v>
      </c>
      <c r="AN59" s="151">
        <f t="shared" si="13"/>
        <v>320000</v>
      </c>
      <c r="AO59" s="151">
        <f t="shared" si="14"/>
        <v>70000</v>
      </c>
      <c r="AP59" s="152">
        <f t="shared" si="15"/>
        <v>0.73970000000000002</v>
      </c>
      <c r="AQ59" s="153">
        <f t="shared" si="16"/>
        <v>3.3814857142857142</v>
      </c>
      <c r="AR59" s="185" t="s">
        <v>783</v>
      </c>
    </row>
    <row r="60" spans="1:123" s="120" customFormat="1">
      <c r="A60" s="247" t="s">
        <v>494</v>
      </c>
      <c r="B60" s="103" t="s">
        <v>688</v>
      </c>
      <c r="C60" s="104" t="s">
        <v>350</v>
      </c>
      <c r="D60" s="33">
        <v>1</v>
      </c>
      <c r="E60" s="34" t="s">
        <v>740</v>
      </c>
      <c r="F60" s="35"/>
      <c r="G60" s="36">
        <v>2388</v>
      </c>
      <c r="H60" s="35"/>
      <c r="I60" s="35"/>
      <c r="J60" s="37">
        <v>309</v>
      </c>
      <c r="K60" s="105" t="s">
        <v>143</v>
      </c>
      <c r="L60" s="105" t="s">
        <v>151</v>
      </c>
      <c r="M60" s="106" t="s">
        <v>575</v>
      </c>
      <c r="N60" s="154" t="s">
        <v>621</v>
      </c>
      <c r="O60" s="105" t="s">
        <v>760</v>
      </c>
      <c r="P60" s="107">
        <v>0</v>
      </c>
      <c r="Q60" s="108" t="s">
        <v>25</v>
      </c>
      <c r="R60" s="108" t="s">
        <v>26</v>
      </c>
      <c r="S60" s="106">
        <v>2027</v>
      </c>
      <c r="T60" s="109">
        <v>46477</v>
      </c>
      <c r="U60" s="110">
        <v>0.56000000000000005</v>
      </c>
      <c r="V60" s="110">
        <v>0.29999999999999993</v>
      </c>
      <c r="W60" s="111">
        <f t="shared" si="17"/>
        <v>0.86</v>
      </c>
      <c r="X60" s="110">
        <v>7.0000000000000007E-2</v>
      </c>
      <c r="Y60" s="110">
        <v>9.5000000000000001E-2</v>
      </c>
      <c r="Z60" s="110">
        <v>6.8000000000000005E-2</v>
      </c>
      <c r="AA60" s="112">
        <v>0.19800000000000001</v>
      </c>
      <c r="AB60" s="110">
        <v>0.14000000000000001</v>
      </c>
      <c r="AC60" s="113">
        <f t="shared" si="10"/>
        <v>148565</v>
      </c>
      <c r="AD60" s="109"/>
      <c r="AE60" s="114">
        <f t="shared" si="18"/>
        <v>0</v>
      </c>
      <c r="AF60" s="112">
        <f t="shared" si="19"/>
        <v>0</v>
      </c>
      <c r="AG60" s="115">
        <f t="shared" si="20"/>
        <v>25.998875000000002</v>
      </c>
      <c r="AH60" s="114">
        <v>175</v>
      </c>
      <c r="AI60" s="114">
        <v>215</v>
      </c>
      <c r="AJ60" s="114">
        <v>691</v>
      </c>
      <c r="AK60" s="114">
        <v>600</v>
      </c>
      <c r="AL60" s="115">
        <f t="shared" si="11"/>
        <v>89.138999999999996</v>
      </c>
      <c r="AM60" s="115">
        <f t="shared" si="12"/>
        <v>49.917840000000005</v>
      </c>
      <c r="AN60" s="116">
        <f t="shared" si="13"/>
        <v>129000</v>
      </c>
      <c r="AO60" s="116">
        <f t="shared" si="14"/>
        <v>37625</v>
      </c>
      <c r="AP60" s="117">
        <f t="shared" si="15"/>
        <v>0.70000000000000007</v>
      </c>
      <c r="AQ60" s="118">
        <f t="shared" si="16"/>
        <v>2.4</v>
      </c>
      <c r="AR60" s="119" t="s">
        <v>783</v>
      </c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</row>
    <row r="61" spans="1:123">
      <c r="A61" s="248" t="s">
        <v>497</v>
      </c>
      <c r="B61" s="19" t="s">
        <v>691</v>
      </c>
      <c r="C61" s="21" t="s">
        <v>349</v>
      </c>
      <c r="D61" s="22">
        <v>1</v>
      </c>
      <c r="E61" s="23" t="s">
        <v>740</v>
      </c>
      <c r="F61" s="17"/>
      <c r="G61" s="24">
        <v>2380</v>
      </c>
      <c r="H61" s="17"/>
      <c r="I61" s="17"/>
      <c r="J61" s="25">
        <v>312</v>
      </c>
      <c r="K61" s="176" t="s">
        <v>143</v>
      </c>
      <c r="L61" s="176" t="s">
        <v>152</v>
      </c>
      <c r="M61" s="177" t="s">
        <v>575</v>
      </c>
      <c r="N61" s="190" t="s">
        <v>624</v>
      </c>
      <c r="O61" s="176" t="s">
        <v>760</v>
      </c>
      <c r="P61" s="149">
        <v>0</v>
      </c>
      <c r="Q61" s="178" t="s">
        <v>25</v>
      </c>
      <c r="R61" s="178" t="s">
        <v>759</v>
      </c>
      <c r="S61" s="177">
        <v>2027</v>
      </c>
      <c r="T61" s="179">
        <v>46477</v>
      </c>
      <c r="U61" s="180">
        <v>0.56000000000000005</v>
      </c>
      <c r="V61" s="180">
        <v>0.29999999999999993</v>
      </c>
      <c r="W61" s="181">
        <f t="shared" si="17"/>
        <v>0.86</v>
      </c>
      <c r="X61" s="180">
        <v>7.0000000000000007E-2</v>
      </c>
      <c r="Y61" s="180">
        <v>9.5000000000000001E-2</v>
      </c>
      <c r="Z61" s="180">
        <v>6.8000000000000005E-2</v>
      </c>
      <c r="AA61" s="182">
        <v>0.19800000000000001</v>
      </c>
      <c r="AB61" s="180">
        <v>0.14000000000000001</v>
      </c>
      <c r="AC61" s="113">
        <f t="shared" si="10"/>
        <v>330750</v>
      </c>
      <c r="AD61" s="179"/>
      <c r="AE61" s="183">
        <f t="shared" si="18"/>
        <v>0</v>
      </c>
      <c r="AF61" s="182">
        <f t="shared" si="19"/>
        <v>0</v>
      </c>
      <c r="AG61" s="184">
        <f t="shared" si="20"/>
        <v>57.881250000000001</v>
      </c>
      <c r="AH61" s="183">
        <v>175</v>
      </c>
      <c r="AI61" s="183">
        <v>225</v>
      </c>
      <c r="AJ61" s="183">
        <v>1470</v>
      </c>
      <c r="AK61" s="183">
        <v>550</v>
      </c>
      <c r="AL61" s="184">
        <f t="shared" si="11"/>
        <v>181.91249999999999</v>
      </c>
      <c r="AM61" s="184">
        <f t="shared" si="12"/>
        <v>101.87100000000001</v>
      </c>
      <c r="AN61" s="151">
        <f t="shared" si="13"/>
        <v>123750</v>
      </c>
      <c r="AO61" s="151">
        <f t="shared" si="14"/>
        <v>39375</v>
      </c>
      <c r="AP61" s="152">
        <f t="shared" si="15"/>
        <v>0.70000000000000007</v>
      </c>
      <c r="AQ61" s="153">
        <f t="shared" si="16"/>
        <v>2.2000000000000002</v>
      </c>
      <c r="AR61" s="185" t="s">
        <v>783</v>
      </c>
    </row>
    <row r="62" spans="1:123" s="120" customFormat="1">
      <c r="A62" s="255" t="s">
        <v>554</v>
      </c>
      <c r="B62" s="103" t="s">
        <v>703</v>
      </c>
      <c r="C62" s="103"/>
      <c r="D62" s="33">
        <v>1</v>
      </c>
      <c r="E62" s="34" t="s">
        <v>740</v>
      </c>
      <c r="F62" s="35"/>
      <c r="G62" s="36">
        <v>2380</v>
      </c>
      <c r="H62" s="35"/>
      <c r="I62" s="35"/>
      <c r="J62" s="37"/>
      <c r="K62" s="105" t="s">
        <v>143</v>
      </c>
      <c r="L62" s="105" t="s">
        <v>152</v>
      </c>
      <c r="M62" s="106" t="s">
        <v>575</v>
      </c>
      <c r="N62" s="154" t="s">
        <v>852</v>
      </c>
      <c r="O62" s="105" t="s">
        <v>760</v>
      </c>
      <c r="P62" s="107">
        <v>0</v>
      </c>
      <c r="Q62" s="108" t="s">
        <v>25</v>
      </c>
      <c r="R62" s="108" t="s">
        <v>759</v>
      </c>
      <c r="S62" s="106">
        <v>2027</v>
      </c>
      <c r="T62" s="109">
        <v>46568</v>
      </c>
      <c r="U62" s="110">
        <v>0.55200000000000005</v>
      </c>
      <c r="V62" s="110">
        <v>0.31</v>
      </c>
      <c r="W62" s="111">
        <f t="shared" si="17"/>
        <v>0.8620000000000001</v>
      </c>
      <c r="X62" s="110"/>
      <c r="Y62" s="110"/>
      <c r="Z62" s="110"/>
      <c r="AA62" s="112">
        <v>0.19800000000000001</v>
      </c>
      <c r="AB62" s="110"/>
      <c r="AC62" s="113">
        <f t="shared" si="10"/>
        <v>179396</v>
      </c>
      <c r="AD62" s="109"/>
      <c r="AE62" s="114">
        <f t="shared" si="18"/>
        <v>0</v>
      </c>
      <c r="AF62" s="112">
        <f t="shared" si="19"/>
        <v>0</v>
      </c>
      <c r="AG62" s="115">
        <f t="shared" si="20"/>
        <v>31.394300000000001</v>
      </c>
      <c r="AH62" s="114">
        <v>175</v>
      </c>
      <c r="AI62" s="114">
        <v>1043</v>
      </c>
      <c r="AJ62" s="114">
        <v>172</v>
      </c>
      <c r="AK62" s="114">
        <v>900</v>
      </c>
      <c r="AL62" s="115">
        <f t="shared" si="11"/>
        <v>161.4564</v>
      </c>
      <c r="AM62" s="115">
        <f t="shared" si="12"/>
        <v>89.123932800000006</v>
      </c>
      <c r="AN62" s="116">
        <f t="shared" si="13"/>
        <v>938700</v>
      </c>
      <c r="AO62" s="116">
        <f t="shared" si="14"/>
        <v>182525</v>
      </c>
      <c r="AP62" s="117">
        <f t="shared" si="15"/>
        <v>0.55200000000000005</v>
      </c>
      <c r="AQ62" s="118">
        <f t="shared" si="16"/>
        <v>2.838857142857143</v>
      </c>
      <c r="AR62" s="119" t="s">
        <v>783</v>
      </c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</row>
    <row r="63" spans="1:123">
      <c r="A63" s="248" t="s">
        <v>428</v>
      </c>
      <c r="B63" s="19" t="s">
        <v>205</v>
      </c>
      <c r="C63" s="21" t="s">
        <v>328</v>
      </c>
      <c r="D63" s="22">
        <v>1</v>
      </c>
      <c r="E63" s="23" t="s">
        <v>740</v>
      </c>
      <c r="F63" s="17"/>
      <c r="G63" s="24" t="s">
        <v>753</v>
      </c>
      <c r="H63" s="17"/>
      <c r="I63" s="17"/>
      <c r="J63" s="25">
        <v>161</v>
      </c>
      <c r="K63" s="176" t="s">
        <v>53</v>
      </c>
      <c r="L63" s="176" t="s">
        <v>54</v>
      </c>
      <c r="M63" s="177" t="s">
        <v>568</v>
      </c>
      <c r="N63" s="190" t="s">
        <v>55</v>
      </c>
      <c r="O63" s="176" t="s">
        <v>760</v>
      </c>
      <c r="P63" s="149">
        <v>0</v>
      </c>
      <c r="Q63" s="178" t="s">
        <v>25</v>
      </c>
      <c r="R63" s="178" t="s">
        <v>26</v>
      </c>
      <c r="S63" s="177">
        <v>2027</v>
      </c>
      <c r="T63" s="179">
        <v>46752</v>
      </c>
      <c r="U63" s="180">
        <v>0.60550000000000004</v>
      </c>
      <c r="V63" s="180"/>
      <c r="W63" s="181">
        <f t="shared" si="17"/>
        <v>0.60550000000000004</v>
      </c>
      <c r="X63" s="180"/>
      <c r="Y63" s="180"/>
      <c r="Z63" s="180"/>
      <c r="AA63" s="182">
        <v>0.19800000000000001</v>
      </c>
      <c r="AB63" s="180">
        <v>0.39449999999999996</v>
      </c>
      <c r="AC63" s="113">
        <f t="shared" si="10"/>
        <v>233060</v>
      </c>
      <c r="AD63" s="179"/>
      <c r="AE63" s="183">
        <f t="shared" si="18"/>
        <v>0</v>
      </c>
      <c r="AF63" s="182">
        <f t="shared" si="19"/>
        <v>0</v>
      </c>
      <c r="AG63" s="184">
        <f t="shared" si="20"/>
        <v>29.831679999999999</v>
      </c>
      <c r="AH63" s="183">
        <v>128</v>
      </c>
      <c r="AI63" s="183">
        <v>275.15938606847698</v>
      </c>
      <c r="AJ63" s="183">
        <v>847</v>
      </c>
      <c r="AK63" s="183">
        <v>550</v>
      </c>
      <c r="AL63" s="184">
        <f t="shared" si="11"/>
        <v>128.18299999999999</v>
      </c>
      <c r="AM63" s="184">
        <f t="shared" si="12"/>
        <v>77.6148065</v>
      </c>
      <c r="AN63" s="151">
        <f t="shared" si="13"/>
        <v>151337.66233766233</v>
      </c>
      <c r="AO63" s="151">
        <f t="shared" si="14"/>
        <v>35220.401416765053</v>
      </c>
      <c r="AP63" s="152">
        <f t="shared" si="15"/>
        <v>1</v>
      </c>
      <c r="AQ63" s="153">
        <f t="shared" si="16"/>
        <v>4.296875</v>
      </c>
      <c r="AR63" s="185" t="s">
        <v>783</v>
      </c>
    </row>
    <row r="64" spans="1:123" s="120" customFormat="1">
      <c r="A64" s="247" t="s">
        <v>428</v>
      </c>
      <c r="B64" s="103" t="s">
        <v>222</v>
      </c>
      <c r="C64" s="104" t="s">
        <v>327</v>
      </c>
      <c r="D64" s="33">
        <v>1</v>
      </c>
      <c r="E64" s="34" t="s">
        <v>740</v>
      </c>
      <c r="F64" s="35"/>
      <c r="G64" s="36" t="s">
        <v>753</v>
      </c>
      <c r="H64" s="35"/>
      <c r="I64" s="35"/>
      <c r="J64" s="37">
        <v>179</v>
      </c>
      <c r="K64" s="105" t="s">
        <v>53</v>
      </c>
      <c r="L64" s="105" t="s">
        <v>54</v>
      </c>
      <c r="M64" s="106" t="s">
        <v>568</v>
      </c>
      <c r="N64" s="154" t="s">
        <v>835</v>
      </c>
      <c r="O64" s="105" t="s">
        <v>756</v>
      </c>
      <c r="P64" s="107">
        <v>2781250</v>
      </c>
      <c r="Q64" s="108" t="s">
        <v>25</v>
      </c>
      <c r="R64" s="108" t="s">
        <v>26</v>
      </c>
      <c r="S64" s="106">
        <v>2027</v>
      </c>
      <c r="T64" s="109">
        <v>46752</v>
      </c>
      <c r="U64" s="110">
        <v>0.6</v>
      </c>
      <c r="V64" s="110"/>
      <c r="W64" s="111">
        <f t="shared" si="17"/>
        <v>0.6</v>
      </c>
      <c r="X64" s="110"/>
      <c r="Y64" s="110"/>
      <c r="Z64" s="110"/>
      <c r="AA64" s="112">
        <v>0.19800000000000001</v>
      </c>
      <c r="AB64" s="110">
        <v>0.4</v>
      </c>
      <c r="AC64" s="113">
        <f t="shared" si="10"/>
        <v>160000</v>
      </c>
      <c r="AD64" s="109"/>
      <c r="AE64" s="114">
        <f t="shared" si="18"/>
        <v>2.78125</v>
      </c>
      <c r="AF64" s="112">
        <f t="shared" si="19"/>
        <v>3.4765625000000001E-2</v>
      </c>
      <c r="AG64" s="115">
        <f t="shared" si="20"/>
        <v>20.48</v>
      </c>
      <c r="AH64" s="114">
        <v>128</v>
      </c>
      <c r="AI64" s="114">
        <v>300.18761726078799</v>
      </c>
      <c r="AJ64" s="114">
        <v>533</v>
      </c>
      <c r="AK64" s="114">
        <v>500</v>
      </c>
      <c r="AL64" s="115">
        <f t="shared" si="11"/>
        <v>80</v>
      </c>
      <c r="AM64" s="115">
        <f t="shared" si="12"/>
        <v>48</v>
      </c>
      <c r="AN64" s="116">
        <f t="shared" si="13"/>
        <v>150093.80863039399</v>
      </c>
      <c r="AO64" s="116">
        <f t="shared" si="14"/>
        <v>38424.015009380862</v>
      </c>
      <c r="AP64" s="117">
        <f t="shared" si="15"/>
        <v>1</v>
      </c>
      <c r="AQ64" s="118">
        <f t="shared" si="16"/>
        <v>3.4391960879144499</v>
      </c>
      <c r="AR64" s="119" t="s">
        <v>783</v>
      </c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</row>
    <row r="65" spans="1:123">
      <c r="A65" s="248" t="s">
        <v>436</v>
      </c>
      <c r="B65" s="19" t="s">
        <v>228</v>
      </c>
      <c r="C65" s="21" t="s">
        <v>394</v>
      </c>
      <c r="D65" s="22">
        <v>1</v>
      </c>
      <c r="E65" s="23" t="s">
        <v>739</v>
      </c>
      <c r="F65" s="17"/>
      <c r="G65" s="24">
        <v>2313</v>
      </c>
      <c r="H65" s="17"/>
      <c r="I65" s="17"/>
      <c r="J65" s="25">
        <v>191</v>
      </c>
      <c r="K65" s="176" t="s">
        <v>53</v>
      </c>
      <c r="L65" s="176" t="s">
        <v>78</v>
      </c>
      <c r="M65" s="177" t="s">
        <v>569</v>
      </c>
      <c r="N65" s="190" t="s">
        <v>833</v>
      </c>
      <c r="O65" s="176" t="s">
        <v>756</v>
      </c>
      <c r="P65" s="149">
        <v>6000000</v>
      </c>
      <c r="Q65" s="178" t="s">
        <v>25</v>
      </c>
      <c r="R65" s="178" t="s">
        <v>759</v>
      </c>
      <c r="S65" s="177">
        <v>2027</v>
      </c>
      <c r="T65" s="179">
        <v>46568</v>
      </c>
      <c r="U65" s="180">
        <v>0.442</v>
      </c>
      <c r="V65" s="180">
        <v>0.35</v>
      </c>
      <c r="W65" s="181">
        <f t="shared" si="17"/>
        <v>0.79200000000000004</v>
      </c>
      <c r="X65" s="180">
        <v>0.05</v>
      </c>
      <c r="Y65" s="180">
        <v>9.0000000000000011E-2</v>
      </c>
      <c r="Z65" s="180">
        <v>6.8000000000000005E-2</v>
      </c>
      <c r="AA65" s="182">
        <v>0.19800000000000001</v>
      </c>
      <c r="AB65" s="180">
        <v>0.20799999999999996</v>
      </c>
      <c r="AC65" s="113">
        <f t="shared" si="10"/>
        <v>149072</v>
      </c>
      <c r="AD65" s="179"/>
      <c r="AE65" s="183">
        <f t="shared" si="18"/>
        <v>6</v>
      </c>
      <c r="AF65" s="182">
        <f t="shared" si="19"/>
        <v>7.3180013074829006E-2</v>
      </c>
      <c r="AG65" s="184">
        <f t="shared" si="20"/>
        <v>19.081216000000001</v>
      </c>
      <c r="AH65" s="183">
        <v>128</v>
      </c>
      <c r="AI65" s="183">
        <v>242</v>
      </c>
      <c r="AJ65" s="183">
        <v>616</v>
      </c>
      <c r="AK65" s="183">
        <v>550</v>
      </c>
      <c r="AL65" s="184">
        <f t="shared" si="11"/>
        <v>81.989599999999996</v>
      </c>
      <c r="AM65" s="184">
        <f t="shared" si="12"/>
        <v>36.239403199999998</v>
      </c>
      <c r="AN65" s="151">
        <f t="shared" si="13"/>
        <v>133100</v>
      </c>
      <c r="AO65" s="151">
        <f t="shared" si="14"/>
        <v>30976</v>
      </c>
      <c r="AP65" s="152">
        <f t="shared" si="15"/>
        <v>0.64999999999999991</v>
      </c>
      <c r="AQ65" s="153">
        <f t="shared" si="16"/>
        <v>2.1248268026558197</v>
      </c>
      <c r="AR65" s="185" t="s">
        <v>783</v>
      </c>
    </row>
    <row r="66" spans="1:123" s="120" customFormat="1">
      <c r="A66" s="247" t="s">
        <v>766</v>
      </c>
      <c r="B66" s="130" t="s">
        <v>24</v>
      </c>
      <c r="D66" s="33">
        <v>1</v>
      </c>
      <c r="E66" s="34" t="s">
        <v>740</v>
      </c>
      <c r="G66" s="131"/>
      <c r="K66" s="132" t="s">
        <v>22</v>
      </c>
      <c r="L66" s="133" t="s">
        <v>30</v>
      </c>
      <c r="M66" s="119" t="s">
        <v>567</v>
      </c>
      <c r="N66" s="133" t="s">
        <v>786</v>
      </c>
      <c r="O66" s="133" t="s">
        <v>756</v>
      </c>
      <c r="P66" s="107">
        <v>27000000</v>
      </c>
      <c r="Q66" s="119" t="s">
        <v>25</v>
      </c>
      <c r="R66" s="119" t="s">
        <v>26</v>
      </c>
      <c r="S66" s="119">
        <v>2027</v>
      </c>
      <c r="T66" s="109">
        <v>46721</v>
      </c>
      <c r="U66" s="110">
        <v>1</v>
      </c>
      <c r="V66" s="133"/>
      <c r="W66" s="111">
        <f t="shared" si="17"/>
        <v>1</v>
      </c>
      <c r="X66" s="133"/>
      <c r="Y66" s="133"/>
      <c r="Z66" s="133"/>
      <c r="AA66" s="112">
        <v>1</v>
      </c>
      <c r="AB66" s="110"/>
      <c r="AC66" s="113">
        <f t="shared" si="10"/>
        <v>579800</v>
      </c>
      <c r="AD66" s="133"/>
      <c r="AE66" s="114">
        <f t="shared" si="18"/>
        <v>27</v>
      </c>
      <c r="AF66" s="112">
        <v>1</v>
      </c>
      <c r="AG66" s="115">
        <f t="shared" si="20"/>
        <v>77.113399999999999</v>
      </c>
      <c r="AH66" s="114">
        <v>133</v>
      </c>
      <c r="AI66" s="114">
        <v>223</v>
      </c>
      <c r="AJ66" s="114">
        <v>2600</v>
      </c>
      <c r="AK66" s="114">
        <v>600</v>
      </c>
      <c r="AL66" s="115">
        <f t="shared" si="11"/>
        <v>347.88</v>
      </c>
      <c r="AM66" s="115">
        <f t="shared" si="12"/>
        <v>347.88</v>
      </c>
      <c r="AN66" s="116">
        <f t="shared" si="13"/>
        <v>133800</v>
      </c>
      <c r="AO66" s="116">
        <f t="shared" si="14"/>
        <v>29659</v>
      </c>
      <c r="AP66" s="117">
        <v>1</v>
      </c>
      <c r="AQ66" s="118">
        <f t="shared" si="16"/>
        <v>3.3413566361294511</v>
      </c>
      <c r="AR66" s="119" t="s">
        <v>783</v>
      </c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</row>
    <row r="67" spans="1:123">
      <c r="A67" s="248" t="s">
        <v>414</v>
      </c>
      <c r="B67" s="19" t="s">
        <v>309</v>
      </c>
      <c r="C67" s="21" t="s">
        <v>334</v>
      </c>
      <c r="D67" s="22">
        <v>1</v>
      </c>
      <c r="E67" s="23" t="s">
        <v>740</v>
      </c>
      <c r="F67" s="17"/>
      <c r="G67" s="24">
        <v>2040</v>
      </c>
      <c r="H67" s="17"/>
      <c r="I67" s="17"/>
      <c r="J67" s="25">
        <v>356</v>
      </c>
      <c r="K67" s="176" t="s">
        <v>767</v>
      </c>
      <c r="L67" s="176" t="s">
        <v>564</v>
      </c>
      <c r="M67" s="177" t="s">
        <v>579</v>
      </c>
      <c r="N67" s="190" t="s">
        <v>179</v>
      </c>
      <c r="O67" s="176" t="s">
        <v>758</v>
      </c>
      <c r="P67" s="149">
        <v>11775750</v>
      </c>
      <c r="Q67" s="178" t="s">
        <v>25</v>
      </c>
      <c r="R67" s="178" t="s">
        <v>759</v>
      </c>
      <c r="S67" s="177">
        <v>2028</v>
      </c>
      <c r="T67" s="179">
        <v>46934</v>
      </c>
      <c r="U67" s="180">
        <v>0.75</v>
      </c>
      <c r="V67" s="180">
        <v>0.25</v>
      </c>
      <c r="W67" s="181">
        <f t="shared" si="17"/>
        <v>1</v>
      </c>
      <c r="X67" s="180">
        <v>0.05</v>
      </c>
      <c r="Y67" s="180">
        <v>9.0000000000000011E-2</v>
      </c>
      <c r="Z67" s="180">
        <v>6.8000000000000005E-2</v>
      </c>
      <c r="AA67" s="182">
        <v>0.19800000000000001</v>
      </c>
      <c r="AB67" s="180"/>
      <c r="AC67" s="113">
        <f t="shared" si="10"/>
        <v>180249.09</v>
      </c>
      <c r="AD67" s="179"/>
      <c r="AE67" s="183">
        <f t="shared" si="18"/>
        <v>11.77575</v>
      </c>
      <c r="AF67" s="182">
        <f t="shared" ref="AF67:AF108" si="21">IF(AL67=0,0,AE67/AL67)</f>
        <v>0.13332740185896558</v>
      </c>
      <c r="AG67" s="184">
        <f t="shared" si="20"/>
        <v>26.676865320000005</v>
      </c>
      <c r="AH67" s="183">
        <v>148</v>
      </c>
      <c r="AI67" s="183">
        <v>304.99</v>
      </c>
      <c r="AJ67" s="183">
        <v>591</v>
      </c>
      <c r="AK67" s="183">
        <v>490.00000000000006</v>
      </c>
      <c r="AL67" s="184">
        <f t="shared" si="11"/>
        <v>88.322054100000017</v>
      </c>
      <c r="AM67" s="184">
        <f t="shared" si="12"/>
        <v>66.241540575000016</v>
      </c>
      <c r="AN67" s="151">
        <f t="shared" si="13"/>
        <v>149445.10000000003</v>
      </c>
      <c r="AO67" s="151">
        <f t="shared" si="14"/>
        <v>45138.520000000004</v>
      </c>
      <c r="AP67" s="152">
        <f t="shared" ref="AP67:AP108" si="22">U67+AB67</f>
        <v>0.75</v>
      </c>
      <c r="AQ67" s="153">
        <f t="shared" si="16"/>
        <v>1.7226797195390351</v>
      </c>
      <c r="AR67" s="185" t="s">
        <v>783</v>
      </c>
    </row>
    <row r="68" spans="1:123" s="120" customFormat="1">
      <c r="A68" s="247" t="s">
        <v>523</v>
      </c>
      <c r="B68" s="103" t="s">
        <v>315</v>
      </c>
      <c r="C68" s="104" t="s">
        <v>332</v>
      </c>
      <c r="D68" s="33">
        <v>1</v>
      </c>
      <c r="E68" s="34" t="s">
        <v>740</v>
      </c>
      <c r="F68" s="35"/>
      <c r="G68" s="36">
        <v>2770</v>
      </c>
      <c r="H68" s="35"/>
      <c r="I68" s="35"/>
      <c r="J68" s="37">
        <v>362</v>
      </c>
      <c r="K68" s="105" t="s">
        <v>548</v>
      </c>
      <c r="L68" s="105" t="s">
        <v>182</v>
      </c>
      <c r="M68" s="106" t="s">
        <v>579</v>
      </c>
      <c r="N68" s="154" t="s">
        <v>187</v>
      </c>
      <c r="O68" s="105" t="s">
        <v>760</v>
      </c>
      <c r="P68" s="107">
        <v>0</v>
      </c>
      <c r="Q68" s="108" t="s">
        <v>25</v>
      </c>
      <c r="R68" s="108" t="s">
        <v>26</v>
      </c>
      <c r="S68" s="106">
        <v>2028</v>
      </c>
      <c r="T68" s="109">
        <v>47118</v>
      </c>
      <c r="U68" s="110">
        <v>0.8</v>
      </c>
      <c r="V68" s="110"/>
      <c r="W68" s="111">
        <f t="shared" si="17"/>
        <v>0.8</v>
      </c>
      <c r="X68" s="110"/>
      <c r="Y68" s="110"/>
      <c r="Z68" s="110"/>
      <c r="AA68" s="112">
        <v>0.19800000000000001</v>
      </c>
      <c r="AB68" s="110">
        <v>0.19999999999999996</v>
      </c>
      <c r="AC68" s="113">
        <f t="shared" si="10"/>
        <v>139944.68482905984</v>
      </c>
      <c r="AD68" s="109"/>
      <c r="AE68" s="114">
        <f t="shared" si="18"/>
        <v>0</v>
      </c>
      <c r="AF68" s="112">
        <f t="shared" si="21"/>
        <v>0</v>
      </c>
      <c r="AG68" s="115">
        <f t="shared" si="20"/>
        <v>20.711813354700855</v>
      </c>
      <c r="AH68" s="114">
        <v>148</v>
      </c>
      <c r="AI68" s="114">
        <v>279.88936965811968</v>
      </c>
      <c r="AJ68" s="114">
        <v>500</v>
      </c>
      <c r="AK68" s="114">
        <v>500</v>
      </c>
      <c r="AL68" s="115">
        <f t="shared" ref="AL68:AL99" si="23">(AK68*AJ68*AI68)/10^6</f>
        <v>69.972342414529919</v>
      </c>
      <c r="AM68" s="115">
        <f t="shared" ref="AM68:AM99" si="24">AL68*U68</f>
        <v>55.97787393162394</v>
      </c>
      <c r="AN68" s="116">
        <f t="shared" ref="AN68:AN99" si="25">AI68*AK68</f>
        <v>139944.68482905984</v>
      </c>
      <c r="AO68" s="116">
        <f t="shared" ref="AO68:AO99" si="26">AH68*AI68</f>
        <v>41423.626709401709</v>
      </c>
      <c r="AP68" s="117">
        <f t="shared" si="22"/>
        <v>1</v>
      </c>
      <c r="AQ68" s="118">
        <f t="shared" ref="AQ68:AQ99" si="27">AL68*AP68/(AG68+AE68)</f>
        <v>3.3783783783783785</v>
      </c>
      <c r="AR68" s="119" t="s">
        <v>783</v>
      </c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</row>
    <row r="69" spans="1:123">
      <c r="A69" s="248" t="s">
        <v>563</v>
      </c>
      <c r="B69" s="19" t="s">
        <v>561</v>
      </c>
      <c r="C69" s="19"/>
      <c r="D69" s="22">
        <v>1</v>
      </c>
      <c r="E69" s="23" t="s">
        <v>740</v>
      </c>
      <c r="F69" s="17"/>
      <c r="G69" s="24">
        <v>2041</v>
      </c>
      <c r="H69" s="17"/>
      <c r="I69" s="17"/>
      <c r="J69" s="25"/>
      <c r="K69" s="176" t="s">
        <v>548</v>
      </c>
      <c r="L69" s="176" t="s">
        <v>562</v>
      </c>
      <c r="M69" s="177" t="s">
        <v>579</v>
      </c>
      <c r="N69" s="190" t="s">
        <v>24</v>
      </c>
      <c r="O69" s="176" t="s">
        <v>760</v>
      </c>
      <c r="P69" s="149">
        <v>0</v>
      </c>
      <c r="Q69" s="178" t="s">
        <v>25</v>
      </c>
      <c r="R69" s="178"/>
      <c r="S69" s="177">
        <v>2028</v>
      </c>
      <c r="T69" s="179">
        <v>46935</v>
      </c>
      <c r="U69" s="180">
        <v>0.72499999999999998</v>
      </c>
      <c r="V69" s="180">
        <f>27.5%-15%</f>
        <v>0.12500000000000003</v>
      </c>
      <c r="W69" s="181">
        <f t="shared" ref="W69:W100" si="28">SUM(U69:V69)</f>
        <v>0.85</v>
      </c>
      <c r="X69" s="180"/>
      <c r="Y69" s="180"/>
      <c r="Z69" s="180"/>
      <c r="AA69" s="182">
        <v>0.19800000000000001</v>
      </c>
      <c r="AB69" s="180">
        <v>0.15</v>
      </c>
      <c r="AC69" s="113">
        <f t="shared" si="10"/>
        <v>818954.5</v>
      </c>
      <c r="AD69" s="179"/>
      <c r="AE69" s="183">
        <f t="shared" ref="AE69:AE100" si="29">P69/10^6</f>
        <v>0</v>
      </c>
      <c r="AF69" s="182">
        <f t="shared" si="21"/>
        <v>0</v>
      </c>
      <c r="AG69" s="184">
        <f t="shared" ref="AG69:AG100" si="30">(AH69*AI69*AJ69)/10^6</f>
        <v>196.54908</v>
      </c>
      <c r="AH69" s="183">
        <v>240</v>
      </c>
      <c r="AI69" s="183">
        <v>219.5</v>
      </c>
      <c r="AJ69" s="183">
        <v>3731</v>
      </c>
      <c r="AK69" s="183">
        <v>520</v>
      </c>
      <c r="AL69" s="184">
        <f t="shared" si="23"/>
        <v>425.85633999999999</v>
      </c>
      <c r="AM69" s="184">
        <f t="shared" si="24"/>
        <v>308.74584649999997</v>
      </c>
      <c r="AN69" s="151">
        <f t="shared" si="25"/>
        <v>114140</v>
      </c>
      <c r="AO69" s="151">
        <f t="shared" si="26"/>
        <v>52680</v>
      </c>
      <c r="AP69" s="152">
        <f t="shared" si="22"/>
        <v>0.875</v>
      </c>
      <c r="AQ69" s="153">
        <f t="shared" si="27"/>
        <v>1.8958333333333333</v>
      </c>
      <c r="AR69" s="185" t="s">
        <v>783</v>
      </c>
    </row>
    <row r="70" spans="1:123" s="120" customFormat="1">
      <c r="A70" s="247" t="s">
        <v>442</v>
      </c>
      <c r="B70" s="103" t="s">
        <v>237</v>
      </c>
      <c r="C70" s="104" t="s">
        <v>400</v>
      </c>
      <c r="D70" s="33">
        <v>1</v>
      </c>
      <c r="E70" s="34" t="s">
        <v>740</v>
      </c>
      <c r="F70" s="35"/>
      <c r="G70" s="36">
        <v>2044</v>
      </c>
      <c r="H70" s="35"/>
      <c r="I70" s="35"/>
      <c r="J70" s="37">
        <v>201</v>
      </c>
      <c r="K70" s="105" t="s">
        <v>81</v>
      </c>
      <c r="L70" s="105" t="s">
        <v>89</v>
      </c>
      <c r="M70" s="106" t="s">
        <v>569</v>
      </c>
      <c r="N70" s="154" t="s">
        <v>90</v>
      </c>
      <c r="O70" s="105" t="s">
        <v>756</v>
      </c>
      <c r="P70" s="107">
        <v>2000000</v>
      </c>
      <c r="Q70" s="108" t="s">
        <v>25</v>
      </c>
      <c r="R70" s="108" t="s">
        <v>759</v>
      </c>
      <c r="S70" s="106">
        <v>2028</v>
      </c>
      <c r="T70" s="109">
        <v>46843</v>
      </c>
      <c r="U70" s="110">
        <v>0.8</v>
      </c>
      <c r="V70" s="110"/>
      <c r="W70" s="111">
        <f t="shared" si="28"/>
        <v>0.8</v>
      </c>
      <c r="X70" s="110"/>
      <c r="Y70" s="110"/>
      <c r="Z70" s="110"/>
      <c r="AA70" s="112">
        <v>0.19800000000000001</v>
      </c>
      <c r="AB70" s="110">
        <v>0.19999999999999996</v>
      </c>
      <c r="AC70" s="113">
        <f t="shared" ref="AC70:AC133" si="31">AI70*AJ70</f>
        <v>187500</v>
      </c>
      <c r="AD70" s="109"/>
      <c r="AE70" s="114">
        <f t="shared" si="29"/>
        <v>2</v>
      </c>
      <c r="AF70" s="112">
        <f t="shared" si="21"/>
        <v>2.318840579710145E-2</v>
      </c>
      <c r="AG70" s="115">
        <f t="shared" si="30"/>
        <v>22.5</v>
      </c>
      <c r="AH70" s="114">
        <v>120</v>
      </c>
      <c r="AI70" s="114">
        <v>180</v>
      </c>
      <c r="AJ70" s="114">
        <v>1041.6666666666667</v>
      </c>
      <c r="AK70" s="114">
        <v>460</v>
      </c>
      <c r="AL70" s="115">
        <f t="shared" si="23"/>
        <v>86.25</v>
      </c>
      <c r="AM70" s="115">
        <f t="shared" si="24"/>
        <v>69</v>
      </c>
      <c r="AN70" s="116">
        <f t="shared" si="25"/>
        <v>82800</v>
      </c>
      <c r="AO70" s="116">
        <f t="shared" si="26"/>
        <v>21600</v>
      </c>
      <c r="AP70" s="117">
        <f t="shared" si="22"/>
        <v>1</v>
      </c>
      <c r="AQ70" s="118">
        <f t="shared" si="27"/>
        <v>3.5204081632653059</v>
      </c>
      <c r="AR70" s="119" t="s">
        <v>783</v>
      </c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</row>
    <row r="71" spans="1:123">
      <c r="A71" s="248" t="s">
        <v>445</v>
      </c>
      <c r="B71" s="19" t="s">
        <v>241</v>
      </c>
      <c r="C71" s="21" t="s">
        <v>391</v>
      </c>
      <c r="D71" s="22">
        <v>1</v>
      </c>
      <c r="E71" s="23" t="s">
        <v>740</v>
      </c>
      <c r="F71" s="17"/>
      <c r="G71" s="24">
        <v>2054</v>
      </c>
      <c r="H71" s="17"/>
      <c r="I71" s="17"/>
      <c r="J71" s="25">
        <v>206</v>
      </c>
      <c r="K71" s="176" t="s">
        <v>93</v>
      </c>
      <c r="L71" s="176" t="s">
        <v>96</v>
      </c>
      <c r="M71" s="177" t="s">
        <v>571</v>
      </c>
      <c r="N71" s="190" t="s">
        <v>97</v>
      </c>
      <c r="O71" s="176" t="s">
        <v>756</v>
      </c>
      <c r="P71" s="149">
        <v>750000</v>
      </c>
      <c r="Q71" s="178" t="s">
        <v>25</v>
      </c>
      <c r="R71" s="178" t="s">
        <v>759</v>
      </c>
      <c r="S71" s="177">
        <v>2028</v>
      </c>
      <c r="T71" s="179">
        <v>47026</v>
      </c>
      <c r="U71" s="180">
        <v>0.8</v>
      </c>
      <c r="V71" s="180">
        <v>0.19999999999999996</v>
      </c>
      <c r="W71" s="181">
        <f t="shared" si="28"/>
        <v>1</v>
      </c>
      <c r="X71" s="180">
        <v>0.05</v>
      </c>
      <c r="Y71" s="180">
        <v>0</v>
      </c>
      <c r="Z71" s="180">
        <v>6.8000000000000005E-2</v>
      </c>
      <c r="AA71" s="182">
        <v>0.19800000000000001</v>
      </c>
      <c r="AB71" s="180"/>
      <c r="AC71" s="113">
        <f t="shared" si="31"/>
        <v>186384</v>
      </c>
      <c r="AD71" s="179"/>
      <c r="AE71" s="183">
        <f t="shared" si="29"/>
        <v>0.75</v>
      </c>
      <c r="AF71" s="182">
        <f t="shared" si="21"/>
        <v>8.0479011073911928E-3</v>
      </c>
      <c r="AG71" s="184">
        <f t="shared" si="30"/>
        <v>24.789072000000001</v>
      </c>
      <c r="AH71" s="183">
        <v>133</v>
      </c>
      <c r="AI71" s="183">
        <v>176</v>
      </c>
      <c r="AJ71" s="183">
        <v>1059</v>
      </c>
      <c r="AK71" s="183">
        <v>500</v>
      </c>
      <c r="AL71" s="184">
        <f t="shared" si="23"/>
        <v>93.191999999999993</v>
      </c>
      <c r="AM71" s="184">
        <f t="shared" si="24"/>
        <v>74.553600000000003</v>
      </c>
      <c r="AN71" s="151">
        <f t="shared" si="25"/>
        <v>88000</v>
      </c>
      <c r="AO71" s="151">
        <f t="shared" si="26"/>
        <v>23408</v>
      </c>
      <c r="AP71" s="152">
        <f t="shared" si="22"/>
        <v>0.8</v>
      </c>
      <c r="AQ71" s="153">
        <f t="shared" si="27"/>
        <v>2.9191976905033981</v>
      </c>
      <c r="AR71" s="185" t="s">
        <v>783</v>
      </c>
    </row>
    <row r="72" spans="1:123" s="120" customFormat="1">
      <c r="A72" s="247" t="s">
        <v>446</v>
      </c>
      <c r="B72" s="103" t="s">
        <v>242</v>
      </c>
      <c r="C72" s="104" t="s">
        <v>390</v>
      </c>
      <c r="D72" s="33">
        <v>1</v>
      </c>
      <c r="E72" s="34" t="s">
        <v>740</v>
      </c>
      <c r="F72" s="35"/>
      <c r="G72" s="36">
        <v>2056</v>
      </c>
      <c r="H72" s="35"/>
      <c r="I72" s="35"/>
      <c r="J72" s="37">
        <v>207</v>
      </c>
      <c r="K72" s="105" t="s">
        <v>93</v>
      </c>
      <c r="L72" s="105" t="s">
        <v>98</v>
      </c>
      <c r="M72" s="106" t="s">
        <v>571</v>
      </c>
      <c r="N72" s="154" t="s">
        <v>99</v>
      </c>
      <c r="O72" s="105" t="s">
        <v>760</v>
      </c>
      <c r="P72" s="107">
        <v>0</v>
      </c>
      <c r="Q72" s="108" t="s">
        <v>25</v>
      </c>
      <c r="R72" s="108" t="s">
        <v>759</v>
      </c>
      <c r="S72" s="106">
        <v>2028</v>
      </c>
      <c r="T72" s="109">
        <v>46842</v>
      </c>
      <c r="U72" s="110">
        <v>0.79</v>
      </c>
      <c r="V72" s="110">
        <v>0.20999999999999996</v>
      </c>
      <c r="W72" s="111">
        <f t="shared" si="28"/>
        <v>1</v>
      </c>
      <c r="X72" s="110">
        <v>0.05</v>
      </c>
      <c r="Y72" s="110">
        <v>0</v>
      </c>
      <c r="Z72" s="110">
        <v>6.8000000000000005E-2</v>
      </c>
      <c r="AA72" s="112">
        <v>0.19800000000000001</v>
      </c>
      <c r="AB72" s="110"/>
      <c r="AC72" s="113">
        <f t="shared" si="31"/>
        <v>201792</v>
      </c>
      <c r="AD72" s="109"/>
      <c r="AE72" s="114">
        <f t="shared" si="29"/>
        <v>0</v>
      </c>
      <c r="AF72" s="112">
        <f t="shared" si="21"/>
        <v>0</v>
      </c>
      <c r="AG72" s="115">
        <f t="shared" si="30"/>
        <v>21.793536</v>
      </c>
      <c r="AH72" s="114">
        <v>108</v>
      </c>
      <c r="AI72" s="114">
        <v>192</v>
      </c>
      <c r="AJ72" s="114">
        <v>1051</v>
      </c>
      <c r="AK72" s="114">
        <v>480</v>
      </c>
      <c r="AL72" s="115">
        <f t="shared" si="23"/>
        <v>96.860159999999993</v>
      </c>
      <c r="AM72" s="115">
        <f t="shared" si="24"/>
        <v>76.519526400000004</v>
      </c>
      <c r="AN72" s="116">
        <f t="shared" si="25"/>
        <v>92160</v>
      </c>
      <c r="AO72" s="116">
        <f t="shared" si="26"/>
        <v>20736</v>
      </c>
      <c r="AP72" s="117">
        <f t="shared" si="22"/>
        <v>0.79</v>
      </c>
      <c r="AQ72" s="118">
        <f t="shared" si="27"/>
        <v>3.5111111111111115</v>
      </c>
      <c r="AR72" s="119" t="s">
        <v>783</v>
      </c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</row>
    <row r="73" spans="1:123">
      <c r="A73" s="248" t="s">
        <v>418</v>
      </c>
      <c r="B73" s="19" t="s">
        <v>193</v>
      </c>
      <c r="C73" s="21" t="s">
        <v>320</v>
      </c>
      <c r="D73" s="22">
        <v>1</v>
      </c>
      <c r="E73" s="23" t="s">
        <v>740</v>
      </c>
      <c r="F73" s="17"/>
      <c r="G73" s="24">
        <v>2121</v>
      </c>
      <c r="H73" s="17"/>
      <c r="I73" s="17"/>
      <c r="J73" s="25">
        <v>149</v>
      </c>
      <c r="K73" s="176" t="s">
        <v>22</v>
      </c>
      <c r="L73" s="176" t="s">
        <v>39</v>
      </c>
      <c r="M73" s="177" t="s">
        <v>567</v>
      </c>
      <c r="N73" s="190" t="s">
        <v>29</v>
      </c>
      <c r="O73" s="176" t="s">
        <v>761</v>
      </c>
      <c r="P73" s="186">
        <v>4800000</v>
      </c>
      <c r="Q73" s="178" t="s">
        <v>25</v>
      </c>
      <c r="R73" s="178" t="s">
        <v>759</v>
      </c>
      <c r="S73" s="177">
        <v>2028</v>
      </c>
      <c r="T73" s="179">
        <v>47118</v>
      </c>
      <c r="U73" s="180">
        <v>1</v>
      </c>
      <c r="V73" s="180"/>
      <c r="W73" s="181">
        <f t="shared" si="28"/>
        <v>1</v>
      </c>
      <c r="X73" s="180"/>
      <c r="Y73" s="180"/>
      <c r="Z73" s="180"/>
      <c r="AA73" s="182">
        <v>0.19800000000000001</v>
      </c>
      <c r="AB73" s="180"/>
      <c r="AC73" s="113">
        <f t="shared" si="31"/>
        <v>410455.51</v>
      </c>
      <c r="AD73" s="179"/>
      <c r="AE73" s="183">
        <f t="shared" si="29"/>
        <v>4.8</v>
      </c>
      <c r="AF73" s="182">
        <f t="shared" si="21"/>
        <v>2.338864935690594E-2</v>
      </c>
      <c r="AG73" s="184">
        <f t="shared" si="30"/>
        <v>54.631628380999999</v>
      </c>
      <c r="AH73" s="183">
        <v>133.1</v>
      </c>
      <c r="AI73" s="183">
        <v>239.89217416715371</v>
      </c>
      <c r="AJ73" s="183">
        <v>1711</v>
      </c>
      <c r="AK73" s="183">
        <v>500</v>
      </c>
      <c r="AL73" s="184">
        <f t="shared" si="23"/>
        <v>205.227755</v>
      </c>
      <c r="AM73" s="184">
        <f t="shared" si="24"/>
        <v>205.227755</v>
      </c>
      <c r="AN73" s="151">
        <f t="shared" si="25"/>
        <v>119946.08708357686</v>
      </c>
      <c r="AO73" s="151">
        <f t="shared" si="26"/>
        <v>31929.648381648156</v>
      </c>
      <c r="AP73" s="152">
        <f t="shared" si="22"/>
        <v>1</v>
      </c>
      <c r="AQ73" s="153">
        <f t="shared" si="27"/>
        <v>3.4531740184593414</v>
      </c>
      <c r="AR73" s="185" t="s">
        <v>783</v>
      </c>
    </row>
    <row r="74" spans="1:123" s="120" customFormat="1">
      <c r="A74" s="247" t="s">
        <v>426</v>
      </c>
      <c r="B74" s="103" t="s">
        <v>197</v>
      </c>
      <c r="C74" s="104" t="s">
        <v>324</v>
      </c>
      <c r="D74" s="33">
        <v>1</v>
      </c>
      <c r="E74" s="34" t="s">
        <v>740</v>
      </c>
      <c r="F74" s="35"/>
      <c r="G74" s="36">
        <v>2123</v>
      </c>
      <c r="H74" s="35"/>
      <c r="I74" s="35"/>
      <c r="J74" s="37">
        <v>153</v>
      </c>
      <c r="K74" s="105" t="s">
        <v>22</v>
      </c>
      <c r="L74" s="105" t="s">
        <v>44</v>
      </c>
      <c r="M74" s="106" t="s">
        <v>567</v>
      </c>
      <c r="N74" s="154" t="s">
        <v>45</v>
      </c>
      <c r="O74" s="105" t="s">
        <v>756</v>
      </c>
      <c r="P74" s="107">
        <v>114285.71</v>
      </c>
      <c r="Q74" s="108" t="s">
        <v>25</v>
      </c>
      <c r="R74" s="108" t="s">
        <v>759</v>
      </c>
      <c r="S74" s="106">
        <v>2028</v>
      </c>
      <c r="T74" s="109">
        <v>47118</v>
      </c>
      <c r="U74" s="110">
        <v>1</v>
      </c>
      <c r="V74" s="110"/>
      <c r="W74" s="111">
        <f t="shared" si="28"/>
        <v>1</v>
      </c>
      <c r="X74" s="110"/>
      <c r="Y74" s="110"/>
      <c r="Z74" s="110"/>
      <c r="AA74" s="112">
        <v>0.19800000000000001</v>
      </c>
      <c r="AB74" s="110"/>
      <c r="AC74" s="113">
        <f t="shared" si="31"/>
        <v>121800</v>
      </c>
      <c r="AD74" s="109"/>
      <c r="AE74" s="114">
        <f t="shared" si="29"/>
        <v>0.11428571000000001</v>
      </c>
      <c r="AF74" s="112">
        <f t="shared" si="21"/>
        <v>2.4059136457412322E-3</v>
      </c>
      <c r="AG74" s="115">
        <f t="shared" si="30"/>
        <v>16.211580000000001</v>
      </c>
      <c r="AH74" s="114">
        <v>133.1</v>
      </c>
      <c r="AI74" s="114">
        <v>210</v>
      </c>
      <c r="AJ74" s="114">
        <v>580</v>
      </c>
      <c r="AK74" s="114">
        <v>390</v>
      </c>
      <c r="AL74" s="115">
        <f t="shared" si="23"/>
        <v>47.502000000000002</v>
      </c>
      <c r="AM74" s="115">
        <f t="shared" si="24"/>
        <v>47.502000000000002</v>
      </c>
      <c r="AN74" s="116">
        <f t="shared" si="25"/>
        <v>81900</v>
      </c>
      <c r="AO74" s="116">
        <f t="shared" si="26"/>
        <v>27951</v>
      </c>
      <c r="AP74" s="117">
        <f t="shared" si="22"/>
        <v>1</v>
      </c>
      <c r="AQ74" s="118">
        <f t="shared" si="27"/>
        <v>2.9096159948751654</v>
      </c>
      <c r="AR74" s="119" t="s">
        <v>783</v>
      </c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</row>
    <row r="75" spans="1:123">
      <c r="A75" s="248" t="s">
        <v>514</v>
      </c>
      <c r="B75" s="19" t="s">
        <v>301</v>
      </c>
      <c r="C75" s="21" t="s">
        <v>340</v>
      </c>
      <c r="D75" s="22">
        <v>1</v>
      </c>
      <c r="E75" s="23" t="s">
        <v>740</v>
      </c>
      <c r="F75" s="17"/>
      <c r="G75" s="24">
        <v>1930</v>
      </c>
      <c r="H75" s="17"/>
      <c r="I75" s="17"/>
      <c r="J75" s="25">
        <v>347</v>
      </c>
      <c r="K75" s="176" t="s">
        <v>159</v>
      </c>
      <c r="L75" s="176" t="s">
        <v>716</v>
      </c>
      <c r="M75" s="177" t="s">
        <v>577</v>
      </c>
      <c r="N75" s="190" t="s">
        <v>168</v>
      </c>
      <c r="O75" s="176" t="s">
        <v>760</v>
      </c>
      <c r="P75" s="149">
        <v>0</v>
      </c>
      <c r="Q75" s="178" t="s">
        <v>73</v>
      </c>
      <c r="R75" s="178" t="s">
        <v>26</v>
      </c>
      <c r="S75" s="177">
        <v>2028</v>
      </c>
      <c r="T75" s="179">
        <v>46934</v>
      </c>
      <c r="U75" s="180">
        <v>0.7</v>
      </c>
      <c r="V75" s="180">
        <v>0.30000000000000004</v>
      </c>
      <c r="W75" s="181">
        <f t="shared" si="28"/>
        <v>1</v>
      </c>
      <c r="X75" s="180">
        <v>0.05</v>
      </c>
      <c r="Y75" s="180">
        <v>9.0000000000000011E-2</v>
      </c>
      <c r="Z75" s="180">
        <v>6.8000000000000005E-2</v>
      </c>
      <c r="AA75" s="182">
        <v>0.19800000000000001</v>
      </c>
      <c r="AB75" s="180"/>
      <c r="AC75" s="113">
        <f t="shared" si="31"/>
        <v>154037</v>
      </c>
      <c r="AD75" s="179"/>
      <c r="AE75" s="183">
        <f t="shared" si="29"/>
        <v>0</v>
      </c>
      <c r="AF75" s="182">
        <f t="shared" si="21"/>
        <v>0</v>
      </c>
      <c r="AG75" s="184">
        <f t="shared" si="30"/>
        <v>40.049619999999997</v>
      </c>
      <c r="AH75" s="183">
        <v>260</v>
      </c>
      <c r="AI75" s="183">
        <v>289</v>
      </c>
      <c r="AJ75" s="183">
        <v>533</v>
      </c>
      <c r="AK75" s="183">
        <v>1500</v>
      </c>
      <c r="AL75" s="184">
        <f t="shared" si="23"/>
        <v>231.05549999999999</v>
      </c>
      <c r="AM75" s="184">
        <f t="shared" si="24"/>
        <v>161.73884999999999</v>
      </c>
      <c r="AN75" s="151">
        <f t="shared" si="25"/>
        <v>433500</v>
      </c>
      <c r="AO75" s="151">
        <f t="shared" si="26"/>
        <v>75140</v>
      </c>
      <c r="AP75" s="152">
        <f t="shared" si="22"/>
        <v>0.7</v>
      </c>
      <c r="AQ75" s="153">
        <f t="shared" si="27"/>
        <v>4.0384615384615383</v>
      </c>
      <c r="AR75" s="185" t="s">
        <v>783</v>
      </c>
    </row>
    <row r="76" spans="1:123" s="120" customFormat="1">
      <c r="A76" s="247" t="s">
        <v>515</v>
      </c>
      <c r="B76" s="103" t="s">
        <v>302</v>
      </c>
      <c r="C76" s="104" t="s">
        <v>340</v>
      </c>
      <c r="D76" s="33">
        <v>1</v>
      </c>
      <c r="E76" s="34" t="s">
        <v>740</v>
      </c>
      <c r="F76" s="35"/>
      <c r="G76" s="36">
        <v>1930</v>
      </c>
      <c r="H76" s="35"/>
      <c r="I76" s="35"/>
      <c r="J76" s="37">
        <v>348</v>
      </c>
      <c r="K76" s="105" t="s">
        <v>159</v>
      </c>
      <c r="L76" s="105" t="s">
        <v>716</v>
      </c>
      <c r="M76" s="106" t="s">
        <v>577</v>
      </c>
      <c r="N76" s="154" t="s">
        <v>169</v>
      </c>
      <c r="O76" s="105" t="s">
        <v>760</v>
      </c>
      <c r="P76" s="107">
        <v>0</v>
      </c>
      <c r="Q76" s="108" t="s">
        <v>73</v>
      </c>
      <c r="R76" s="108" t="s">
        <v>26</v>
      </c>
      <c r="S76" s="106">
        <v>2028</v>
      </c>
      <c r="T76" s="109">
        <v>46934</v>
      </c>
      <c r="U76" s="110">
        <v>0.7</v>
      </c>
      <c r="V76" s="110">
        <v>0.30000000000000004</v>
      </c>
      <c r="W76" s="111">
        <f t="shared" si="28"/>
        <v>1</v>
      </c>
      <c r="X76" s="110">
        <v>0.05</v>
      </c>
      <c r="Y76" s="110">
        <v>9.0000000000000011E-2</v>
      </c>
      <c r="Z76" s="110">
        <v>6.8000000000000005E-2</v>
      </c>
      <c r="AA76" s="112">
        <v>0.19800000000000001</v>
      </c>
      <c r="AB76" s="110"/>
      <c r="AC76" s="113">
        <f t="shared" si="31"/>
        <v>121000</v>
      </c>
      <c r="AD76" s="109"/>
      <c r="AE76" s="114">
        <f t="shared" si="29"/>
        <v>0</v>
      </c>
      <c r="AF76" s="112">
        <f t="shared" si="21"/>
        <v>0</v>
      </c>
      <c r="AG76" s="115">
        <f t="shared" si="30"/>
        <v>31.46</v>
      </c>
      <c r="AH76" s="114">
        <v>260</v>
      </c>
      <c r="AI76" s="114">
        <v>220</v>
      </c>
      <c r="AJ76" s="114">
        <v>550</v>
      </c>
      <c r="AK76" s="114">
        <v>1500</v>
      </c>
      <c r="AL76" s="115">
        <f t="shared" si="23"/>
        <v>181.5</v>
      </c>
      <c r="AM76" s="115">
        <f t="shared" si="24"/>
        <v>127.05</v>
      </c>
      <c r="AN76" s="116">
        <f t="shared" si="25"/>
        <v>330000</v>
      </c>
      <c r="AO76" s="116">
        <f t="shared" si="26"/>
        <v>57200</v>
      </c>
      <c r="AP76" s="117">
        <f t="shared" si="22"/>
        <v>0.7</v>
      </c>
      <c r="AQ76" s="118">
        <f t="shared" si="27"/>
        <v>4.0384615384615383</v>
      </c>
      <c r="AR76" s="119" t="s">
        <v>783</v>
      </c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</row>
    <row r="77" spans="1:123">
      <c r="A77" s="257" t="s">
        <v>557</v>
      </c>
      <c r="B77" s="19" t="s">
        <v>546</v>
      </c>
      <c r="C77" s="19"/>
      <c r="D77" s="22">
        <v>1</v>
      </c>
      <c r="E77" s="23" t="s">
        <v>740</v>
      </c>
      <c r="F77" s="17"/>
      <c r="G77" s="24">
        <v>1929</v>
      </c>
      <c r="H77" s="17"/>
      <c r="I77" s="17"/>
      <c r="J77" s="25"/>
      <c r="K77" s="176" t="s">
        <v>159</v>
      </c>
      <c r="L77" s="176" t="s">
        <v>716</v>
      </c>
      <c r="M77" s="177" t="s">
        <v>577</v>
      </c>
      <c r="N77" s="190" t="s">
        <v>546</v>
      </c>
      <c r="O77" s="176" t="s">
        <v>760</v>
      </c>
      <c r="P77" s="149">
        <v>0</v>
      </c>
      <c r="Q77" s="178" t="s">
        <v>73</v>
      </c>
      <c r="R77" s="178" t="s">
        <v>26</v>
      </c>
      <c r="S77" s="177">
        <v>2028</v>
      </c>
      <c r="T77" s="179">
        <v>46934</v>
      </c>
      <c r="U77" s="180">
        <v>0.7</v>
      </c>
      <c r="V77" s="180">
        <v>0.3</v>
      </c>
      <c r="W77" s="181">
        <f t="shared" si="28"/>
        <v>1</v>
      </c>
      <c r="X77" s="180"/>
      <c r="Y77" s="180"/>
      <c r="Z77" s="180"/>
      <c r="AA77" s="182">
        <v>0.19800000000000001</v>
      </c>
      <c r="AB77" s="180"/>
      <c r="AC77" s="113">
        <f t="shared" si="31"/>
        <v>139700</v>
      </c>
      <c r="AD77" s="179"/>
      <c r="AE77" s="183">
        <f t="shared" si="29"/>
        <v>0</v>
      </c>
      <c r="AF77" s="182">
        <f t="shared" si="21"/>
        <v>0</v>
      </c>
      <c r="AG77" s="184">
        <f t="shared" si="30"/>
        <v>41.91</v>
      </c>
      <c r="AH77" s="183">
        <v>300</v>
      </c>
      <c r="AI77" s="183">
        <v>220</v>
      </c>
      <c r="AJ77" s="183">
        <v>635</v>
      </c>
      <c r="AK77" s="183">
        <v>1500</v>
      </c>
      <c r="AL77" s="184">
        <f t="shared" si="23"/>
        <v>209.55</v>
      </c>
      <c r="AM77" s="184">
        <f t="shared" si="24"/>
        <v>146.685</v>
      </c>
      <c r="AN77" s="151">
        <f t="shared" si="25"/>
        <v>330000</v>
      </c>
      <c r="AO77" s="151">
        <f t="shared" si="26"/>
        <v>66000</v>
      </c>
      <c r="AP77" s="152">
        <f t="shared" si="22"/>
        <v>0.7</v>
      </c>
      <c r="AQ77" s="153">
        <f t="shared" si="27"/>
        <v>3.5000000000000004</v>
      </c>
      <c r="AR77" s="185" t="s">
        <v>783</v>
      </c>
    </row>
    <row r="78" spans="1:123" s="120" customFormat="1">
      <c r="A78" s="247" t="s">
        <v>516</v>
      </c>
      <c r="B78" s="103" t="s">
        <v>303</v>
      </c>
      <c r="C78" s="104" t="s">
        <v>339</v>
      </c>
      <c r="D78" s="33">
        <v>1</v>
      </c>
      <c r="E78" s="34" t="s">
        <v>740</v>
      </c>
      <c r="F78" s="35"/>
      <c r="G78" s="36">
        <v>2100</v>
      </c>
      <c r="H78" s="35"/>
      <c r="I78" s="35"/>
      <c r="J78" s="37">
        <v>349</v>
      </c>
      <c r="K78" s="105" t="s">
        <v>159</v>
      </c>
      <c r="L78" s="105" t="s">
        <v>170</v>
      </c>
      <c r="M78" s="106" t="s">
        <v>577</v>
      </c>
      <c r="N78" s="154" t="s">
        <v>111</v>
      </c>
      <c r="O78" s="105" t="s">
        <v>760</v>
      </c>
      <c r="P78" s="107">
        <v>0</v>
      </c>
      <c r="Q78" s="108" t="s">
        <v>73</v>
      </c>
      <c r="R78" s="108" t="s">
        <v>26</v>
      </c>
      <c r="S78" s="106">
        <v>2028</v>
      </c>
      <c r="T78" s="109">
        <v>47026</v>
      </c>
      <c r="U78" s="110">
        <v>0.65</v>
      </c>
      <c r="V78" s="110">
        <v>0.35</v>
      </c>
      <c r="W78" s="111">
        <f t="shared" si="28"/>
        <v>1</v>
      </c>
      <c r="X78" s="110">
        <v>0.05</v>
      </c>
      <c r="Y78" s="110">
        <v>0</v>
      </c>
      <c r="Z78" s="110">
        <v>6.8000000000000005E-2</v>
      </c>
      <c r="AA78" s="112">
        <v>0.19800000000000001</v>
      </c>
      <c r="AB78" s="110"/>
      <c r="AC78" s="113">
        <f t="shared" si="31"/>
        <v>271959.13772455091</v>
      </c>
      <c r="AD78" s="109"/>
      <c r="AE78" s="114">
        <f t="shared" si="29"/>
        <v>0</v>
      </c>
      <c r="AF78" s="112">
        <f t="shared" si="21"/>
        <v>0</v>
      </c>
      <c r="AG78" s="115">
        <f t="shared" si="30"/>
        <v>87.026924071856286</v>
      </c>
      <c r="AH78" s="114">
        <v>320</v>
      </c>
      <c r="AI78" s="114">
        <v>360.21077844311378</v>
      </c>
      <c r="AJ78" s="114">
        <v>755</v>
      </c>
      <c r="AK78" s="114">
        <v>2000</v>
      </c>
      <c r="AL78" s="115">
        <f t="shared" si="23"/>
        <v>543.91827544910177</v>
      </c>
      <c r="AM78" s="115">
        <f t="shared" si="24"/>
        <v>353.54687904191616</v>
      </c>
      <c r="AN78" s="116">
        <f t="shared" si="25"/>
        <v>720421.55688622757</v>
      </c>
      <c r="AO78" s="116">
        <f t="shared" si="26"/>
        <v>115267.4491017964</v>
      </c>
      <c r="AP78" s="117">
        <f t="shared" si="22"/>
        <v>0.65</v>
      </c>
      <c r="AQ78" s="118">
        <f t="shared" si="27"/>
        <v>4.0625</v>
      </c>
      <c r="AR78" s="119" t="s">
        <v>783</v>
      </c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</row>
    <row r="79" spans="1:123">
      <c r="A79" s="248" t="s">
        <v>519</v>
      </c>
      <c r="B79" s="19" t="s">
        <v>306</v>
      </c>
      <c r="C79" s="21" t="s">
        <v>336</v>
      </c>
      <c r="D79" s="22">
        <v>1</v>
      </c>
      <c r="E79" s="23" t="s">
        <v>740</v>
      </c>
      <c r="F79" s="17"/>
      <c r="G79" s="24">
        <v>2000</v>
      </c>
      <c r="H79" s="17"/>
      <c r="I79" s="17"/>
      <c r="J79" s="25">
        <v>352</v>
      </c>
      <c r="K79" s="176" t="s">
        <v>159</v>
      </c>
      <c r="L79" s="176" t="s">
        <v>175</v>
      </c>
      <c r="M79" s="177" t="s">
        <v>578</v>
      </c>
      <c r="N79" s="190" t="s">
        <v>45</v>
      </c>
      <c r="O79" s="176" t="s">
        <v>756</v>
      </c>
      <c r="P79" s="149">
        <v>250000</v>
      </c>
      <c r="Q79" s="178" t="s">
        <v>25</v>
      </c>
      <c r="R79" s="178" t="s">
        <v>759</v>
      </c>
      <c r="S79" s="177">
        <v>2028</v>
      </c>
      <c r="T79" s="179">
        <v>46934</v>
      </c>
      <c r="U79" s="180">
        <v>0.7</v>
      </c>
      <c r="V79" s="180">
        <v>0.30000000000000004</v>
      </c>
      <c r="W79" s="181">
        <f t="shared" si="28"/>
        <v>1</v>
      </c>
      <c r="X79" s="180">
        <v>0.05</v>
      </c>
      <c r="Y79" s="180">
        <v>0.05</v>
      </c>
      <c r="Z79" s="180">
        <v>6.8000000000000005E-2</v>
      </c>
      <c r="AA79" s="182">
        <v>0.19800000000000001</v>
      </c>
      <c r="AB79" s="180"/>
      <c r="AC79" s="113">
        <f t="shared" si="31"/>
        <v>286880</v>
      </c>
      <c r="AD79" s="179"/>
      <c r="AE79" s="183">
        <f t="shared" si="29"/>
        <v>0.25</v>
      </c>
      <c r="AF79" s="182">
        <f t="shared" si="21"/>
        <v>2.1302024161280685E-3</v>
      </c>
      <c r="AG79" s="184">
        <f t="shared" si="30"/>
        <v>38.15504</v>
      </c>
      <c r="AH79" s="183">
        <v>133</v>
      </c>
      <c r="AI79" s="183">
        <v>220</v>
      </c>
      <c r="AJ79" s="183">
        <v>1304</v>
      </c>
      <c r="AK79" s="183">
        <v>409.09</v>
      </c>
      <c r="AL79" s="184">
        <f t="shared" si="23"/>
        <v>117.35973920000001</v>
      </c>
      <c r="AM79" s="184">
        <f t="shared" si="24"/>
        <v>82.151817440000002</v>
      </c>
      <c r="AN79" s="151">
        <f t="shared" si="25"/>
        <v>89999.799999999988</v>
      </c>
      <c r="AO79" s="151">
        <f t="shared" si="26"/>
        <v>29260</v>
      </c>
      <c r="AP79" s="152">
        <f t="shared" si="22"/>
        <v>0.7</v>
      </c>
      <c r="AQ79" s="153">
        <f t="shared" si="27"/>
        <v>2.1390894903377267</v>
      </c>
      <c r="AR79" s="185" t="s">
        <v>783</v>
      </c>
    </row>
    <row r="80" spans="1:123" s="120" customFormat="1">
      <c r="A80" s="247" t="s">
        <v>520</v>
      </c>
      <c r="B80" s="103" t="s">
        <v>307</v>
      </c>
      <c r="C80" s="104" t="s">
        <v>336</v>
      </c>
      <c r="D80" s="33">
        <v>1</v>
      </c>
      <c r="E80" s="34" t="s">
        <v>740</v>
      </c>
      <c r="F80" s="35"/>
      <c r="G80" s="36">
        <v>2108</v>
      </c>
      <c r="H80" s="35"/>
      <c r="I80" s="35"/>
      <c r="J80" s="37">
        <v>353</v>
      </c>
      <c r="K80" s="105" t="s">
        <v>159</v>
      </c>
      <c r="L80" s="105" t="s">
        <v>175</v>
      </c>
      <c r="M80" s="106" t="s">
        <v>578</v>
      </c>
      <c r="N80" s="154" t="s">
        <v>176</v>
      </c>
      <c r="O80" s="105" t="s">
        <v>756</v>
      </c>
      <c r="P80" s="107">
        <v>250000</v>
      </c>
      <c r="Q80" s="108" t="s">
        <v>25</v>
      </c>
      <c r="R80" s="108" t="s">
        <v>26</v>
      </c>
      <c r="S80" s="106" t="s">
        <v>26</v>
      </c>
      <c r="T80" s="109" t="s">
        <v>26</v>
      </c>
      <c r="U80" s="110">
        <v>0.7</v>
      </c>
      <c r="V80" s="110">
        <v>0.30000000000000004</v>
      </c>
      <c r="W80" s="111">
        <f t="shared" si="28"/>
        <v>1</v>
      </c>
      <c r="X80" s="110">
        <v>0.05</v>
      </c>
      <c r="Y80" s="110">
        <v>0.05</v>
      </c>
      <c r="Z80" s="110">
        <v>6.8000000000000005E-2</v>
      </c>
      <c r="AA80" s="112">
        <v>0.19800000000000001</v>
      </c>
      <c r="AB80" s="110"/>
      <c r="AC80" s="113">
        <f t="shared" si="31"/>
        <v>69757.27</v>
      </c>
      <c r="AD80" s="109"/>
      <c r="AE80" s="114">
        <f t="shared" si="29"/>
        <v>0.25</v>
      </c>
      <c r="AF80" s="112">
        <f t="shared" si="21"/>
        <v>8.3345484827202845E-3</v>
      </c>
      <c r="AG80" s="115">
        <f t="shared" si="30"/>
        <v>9.2777169100000005</v>
      </c>
      <c r="AH80" s="114">
        <v>133</v>
      </c>
      <c r="AI80" s="114">
        <v>255.52113553113554</v>
      </c>
      <c r="AJ80" s="114">
        <v>273</v>
      </c>
      <c r="AK80" s="114">
        <v>430</v>
      </c>
      <c r="AL80" s="115">
        <f t="shared" si="23"/>
        <v>29.995626100000003</v>
      </c>
      <c r="AM80" s="115">
        <f t="shared" si="24"/>
        <v>20.996938270000001</v>
      </c>
      <c r="AN80" s="116">
        <f t="shared" si="25"/>
        <v>109874.08827838828</v>
      </c>
      <c r="AO80" s="116">
        <f t="shared" si="26"/>
        <v>33984.311025641029</v>
      </c>
      <c r="AP80" s="117">
        <f t="shared" si="22"/>
        <v>0.7</v>
      </c>
      <c r="AQ80" s="118">
        <f t="shared" si="27"/>
        <v>2.2037743636108935</v>
      </c>
      <c r="AR80" s="119" t="s">
        <v>783</v>
      </c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</row>
    <row r="81" spans="1:123">
      <c r="A81" s="248" t="s">
        <v>521</v>
      </c>
      <c r="B81" s="19" t="s">
        <v>411</v>
      </c>
      <c r="C81" s="21" t="s">
        <v>335</v>
      </c>
      <c r="D81" s="22">
        <v>1</v>
      </c>
      <c r="E81" s="23" t="s">
        <v>740</v>
      </c>
      <c r="F81" s="17"/>
      <c r="G81" s="24">
        <v>2104</v>
      </c>
      <c r="H81" s="17"/>
      <c r="I81" s="17"/>
      <c r="J81" s="25">
        <v>354</v>
      </c>
      <c r="K81" s="176" t="s">
        <v>159</v>
      </c>
      <c r="L81" s="176" t="s">
        <v>177</v>
      </c>
      <c r="M81" s="177" t="s">
        <v>578</v>
      </c>
      <c r="N81" s="190" t="s">
        <v>46</v>
      </c>
      <c r="O81" s="176" t="s">
        <v>756</v>
      </c>
      <c r="P81" s="149">
        <v>1057142.8600000001</v>
      </c>
      <c r="Q81" s="178" t="s">
        <v>25</v>
      </c>
      <c r="R81" s="178" t="s">
        <v>759</v>
      </c>
      <c r="S81" s="177" t="s">
        <v>26</v>
      </c>
      <c r="T81" s="179" t="s">
        <v>26</v>
      </c>
      <c r="U81" s="180">
        <v>0.7</v>
      </c>
      <c r="V81" s="180">
        <v>0.30000000000000004</v>
      </c>
      <c r="W81" s="181">
        <f t="shared" si="28"/>
        <v>1</v>
      </c>
      <c r="X81" s="180">
        <v>0.05</v>
      </c>
      <c r="Y81" s="180">
        <v>9.0000000000000011E-2</v>
      </c>
      <c r="Z81" s="180">
        <v>6.8000000000000005E-2</v>
      </c>
      <c r="AA81" s="182">
        <v>0.19800000000000001</v>
      </c>
      <c r="AB81" s="180"/>
      <c r="AC81" s="113">
        <f t="shared" si="31"/>
        <v>593922</v>
      </c>
      <c r="AD81" s="179"/>
      <c r="AE81" s="183">
        <f t="shared" si="29"/>
        <v>1.0571428600000001</v>
      </c>
      <c r="AF81" s="182">
        <f t="shared" si="21"/>
        <v>0</v>
      </c>
      <c r="AG81" s="184">
        <f t="shared" si="30"/>
        <v>78.991625999999997</v>
      </c>
      <c r="AH81" s="183">
        <v>133</v>
      </c>
      <c r="AI81" s="183">
        <v>237</v>
      </c>
      <c r="AJ81" s="183">
        <v>2506</v>
      </c>
      <c r="AK81" s="183">
        <v>0</v>
      </c>
      <c r="AL81" s="184">
        <f t="shared" si="23"/>
        <v>0</v>
      </c>
      <c r="AM81" s="184">
        <f t="shared" si="24"/>
        <v>0</v>
      </c>
      <c r="AN81" s="151">
        <f t="shared" si="25"/>
        <v>0</v>
      </c>
      <c r="AO81" s="151">
        <f t="shared" si="26"/>
        <v>31521</v>
      </c>
      <c r="AP81" s="152">
        <f t="shared" si="22"/>
        <v>0.7</v>
      </c>
      <c r="AQ81" s="153">
        <f t="shared" si="27"/>
        <v>0</v>
      </c>
      <c r="AR81" s="185" t="s">
        <v>783</v>
      </c>
    </row>
    <row r="82" spans="1:123" s="120" customFormat="1">
      <c r="A82" s="247" t="s">
        <v>462</v>
      </c>
      <c r="B82" s="103" t="s">
        <v>627</v>
      </c>
      <c r="C82" s="104" t="s">
        <v>378</v>
      </c>
      <c r="D82" s="33">
        <v>1</v>
      </c>
      <c r="E82" s="34" t="s">
        <v>740</v>
      </c>
      <c r="F82" s="35"/>
      <c r="G82" s="36">
        <v>2277</v>
      </c>
      <c r="H82" s="35"/>
      <c r="I82" s="35"/>
      <c r="J82" s="37">
        <v>240</v>
      </c>
      <c r="K82" s="105" t="s">
        <v>103</v>
      </c>
      <c r="L82" s="105" t="s">
        <v>584</v>
      </c>
      <c r="M82" s="106" t="s">
        <v>583</v>
      </c>
      <c r="N82" s="154" t="s">
        <v>118</v>
      </c>
      <c r="O82" s="105" t="s">
        <v>760</v>
      </c>
      <c r="P82" s="107">
        <v>0</v>
      </c>
      <c r="Q82" s="108" t="s">
        <v>25</v>
      </c>
      <c r="R82" s="108" t="s">
        <v>759</v>
      </c>
      <c r="S82" s="106">
        <v>2028</v>
      </c>
      <c r="T82" s="109">
        <v>47117</v>
      </c>
      <c r="U82" s="110">
        <v>0.55000000000000004</v>
      </c>
      <c r="V82" s="110">
        <v>0.40001999999999993</v>
      </c>
      <c r="W82" s="111">
        <f t="shared" si="28"/>
        <v>0.95001999999999998</v>
      </c>
      <c r="X82" s="110">
        <v>0.05</v>
      </c>
      <c r="Y82" s="110">
        <v>9.0000000000000011E-2</v>
      </c>
      <c r="Z82" s="110">
        <v>6.8000000000000005E-2</v>
      </c>
      <c r="AA82" s="112">
        <v>0.19800000000000001</v>
      </c>
      <c r="AB82" s="110">
        <v>4.9980000000000024E-2</v>
      </c>
      <c r="AC82" s="113">
        <f t="shared" si="31"/>
        <v>218006.26</v>
      </c>
      <c r="AD82" s="109"/>
      <c r="AE82" s="114">
        <f t="shared" si="29"/>
        <v>0</v>
      </c>
      <c r="AF82" s="112">
        <f t="shared" si="21"/>
        <v>0</v>
      </c>
      <c r="AG82" s="115">
        <f t="shared" si="30"/>
        <v>35.535020380000006</v>
      </c>
      <c r="AH82" s="114">
        <v>163</v>
      </c>
      <c r="AI82" s="114">
        <v>227.3266527632951</v>
      </c>
      <c r="AJ82" s="114">
        <v>959</v>
      </c>
      <c r="AK82" s="114">
        <v>550</v>
      </c>
      <c r="AL82" s="115">
        <f t="shared" si="23"/>
        <v>119.903443</v>
      </c>
      <c r="AM82" s="115">
        <f t="shared" si="24"/>
        <v>65.946893650000007</v>
      </c>
      <c r="AN82" s="116">
        <f t="shared" si="25"/>
        <v>125029.6590198123</v>
      </c>
      <c r="AO82" s="116">
        <f t="shared" si="26"/>
        <v>37054.244400417105</v>
      </c>
      <c r="AP82" s="117">
        <f t="shared" si="22"/>
        <v>0.59998000000000007</v>
      </c>
      <c r="AQ82" s="118">
        <f t="shared" si="27"/>
        <v>2.0244723926380366</v>
      </c>
      <c r="AR82" s="119" t="s">
        <v>783</v>
      </c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</row>
    <row r="83" spans="1:123">
      <c r="A83" s="248" t="s">
        <v>452</v>
      </c>
      <c r="B83" s="19" t="s">
        <v>249</v>
      </c>
      <c r="C83" s="21" t="s">
        <v>385</v>
      </c>
      <c r="D83" s="22">
        <v>1</v>
      </c>
      <c r="E83" s="23" t="s">
        <v>740</v>
      </c>
      <c r="F83" s="17"/>
      <c r="G83" s="24">
        <v>2284</v>
      </c>
      <c r="H83" s="17"/>
      <c r="I83" s="17"/>
      <c r="J83" s="25">
        <v>218</v>
      </c>
      <c r="K83" s="176" t="s">
        <v>103</v>
      </c>
      <c r="L83" s="176" t="s">
        <v>107</v>
      </c>
      <c r="M83" s="177" t="s">
        <v>573</v>
      </c>
      <c r="N83" s="190" t="s">
        <v>108</v>
      </c>
      <c r="O83" s="176" t="s">
        <v>760</v>
      </c>
      <c r="P83" s="149">
        <v>0</v>
      </c>
      <c r="Q83" s="178" t="s">
        <v>25</v>
      </c>
      <c r="R83" s="178" t="s">
        <v>26</v>
      </c>
      <c r="S83" s="177">
        <v>2028</v>
      </c>
      <c r="T83" s="179">
        <v>46934</v>
      </c>
      <c r="U83" s="180">
        <v>0.50418499999999999</v>
      </c>
      <c r="V83" s="180">
        <v>0.44999999999999996</v>
      </c>
      <c r="W83" s="181">
        <f t="shared" si="28"/>
        <v>0.95418499999999995</v>
      </c>
      <c r="X83" s="180">
        <v>0.05</v>
      </c>
      <c r="Y83" s="180">
        <v>9.0000000000000011E-2</v>
      </c>
      <c r="Z83" s="180">
        <v>6.8000000000000005E-2</v>
      </c>
      <c r="AA83" s="182">
        <v>0.19800000000000001</v>
      </c>
      <c r="AB83" s="180">
        <v>4.581500000000005E-2</v>
      </c>
      <c r="AC83" s="113">
        <f t="shared" si="31"/>
        <v>411540</v>
      </c>
      <c r="AD83" s="179"/>
      <c r="AE83" s="183">
        <f t="shared" si="29"/>
        <v>0</v>
      </c>
      <c r="AF83" s="182">
        <f t="shared" si="21"/>
        <v>0</v>
      </c>
      <c r="AG83" s="184">
        <f t="shared" si="30"/>
        <v>69.961799999999997</v>
      </c>
      <c r="AH83" s="183">
        <v>170</v>
      </c>
      <c r="AI83" s="183">
        <v>361</v>
      </c>
      <c r="AJ83" s="183">
        <v>1140</v>
      </c>
      <c r="AK83" s="183">
        <v>650</v>
      </c>
      <c r="AL83" s="184">
        <f t="shared" si="23"/>
        <v>267.50099999999998</v>
      </c>
      <c r="AM83" s="184">
        <f t="shared" si="24"/>
        <v>134.86999168499997</v>
      </c>
      <c r="AN83" s="151">
        <f t="shared" si="25"/>
        <v>234650</v>
      </c>
      <c r="AO83" s="151">
        <f t="shared" si="26"/>
        <v>61370</v>
      </c>
      <c r="AP83" s="152">
        <f t="shared" si="22"/>
        <v>0.55000000000000004</v>
      </c>
      <c r="AQ83" s="153">
        <f t="shared" si="27"/>
        <v>2.1029411764705883</v>
      </c>
      <c r="AR83" s="185" t="s">
        <v>783</v>
      </c>
    </row>
    <row r="84" spans="1:123" s="120" customFormat="1">
      <c r="A84" s="247" t="s">
        <v>454</v>
      </c>
      <c r="B84" s="103" t="s">
        <v>253</v>
      </c>
      <c r="C84" s="104" t="s">
        <v>384</v>
      </c>
      <c r="D84" s="33">
        <v>1</v>
      </c>
      <c r="E84" s="34" t="s">
        <v>740</v>
      </c>
      <c r="F84" s="35"/>
      <c r="G84" s="36">
        <v>2273</v>
      </c>
      <c r="H84" s="35"/>
      <c r="I84" s="35"/>
      <c r="J84" s="37">
        <v>222</v>
      </c>
      <c r="K84" s="105" t="s">
        <v>103</v>
      </c>
      <c r="L84" s="105" t="s">
        <v>112</v>
      </c>
      <c r="M84" s="106" t="s">
        <v>574</v>
      </c>
      <c r="N84" s="154" t="s">
        <v>45</v>
      </c>
      <c r="O84" s="105" t="s">
        <v>757</v>
      </c>
      <c r="P84" s="107">
        <v>166666.66</v>
      </c>
      <c r="Q84" s="108" t="s">
        <v>25</v>
      </c>
      <c r="R84" s="108" t="s">
        <v>759</v>
      </c>
      <c r="S84" s="106">
        <v>2028</v>
      </c>
      <c r="T84" s="109">
        <v>46842</v>
      </c>
      <c r="U84" s="110">
        <v>0.64168999999999998</v>
      </c>
      <c r="V84" s="110">
        <v>0.30000000000000004</v>
      </c>
      <c r="W84" s="111">
        <f t="shared" si="28"/>
        <v>0.94169000000000003</v>
      </c>
      <c r="X84" s="110">
        <v>0.05</v>
      </c>
      <c r="Y84" s="110">
        <v>9.0000000000000011E-2</v>
      </c>
      <c r="Z84" s="110">
        <v>6.8000000000000005E-2</v>
      </c>
      <c r="AA84" s="112">
        <v>0.19800000000000001</v>
      </c>
      <c r="AB84" s="110">
        <v>5.8309999999999973E-2</v>
      </c>
      <c r="AC84" s="113">
        <f t="shared" si="31"/>
        <v>262200</v>
      </c>
      <c r="AD84" s="109"/>
      <c r="AE84" s="114">
        <f t="shared" si="29"/>
        <v>0.16666665999999999</v>
      </c>
      <c r="AF84" s="112">
        <f t="shared" si="21"/>
        <v>8.4752941774726665E-4</v>
      </c>
      <c r="AG84" s="115">
        <f t="shared" si="30"/>
        <v>42.738599999999998</v>
      </c>
      <c r="AH84" s="114">
        <v>163</v>
      </c>
      <c r="AI84" s="114">
        <v>230</v>
      </c>
      <c r="AJ84" s="114">
        <v>1140</v>
      </c>
      <c r="AK84" s="114">
        <v>750</v>
      </c>
      <c r="AL84" s="115">
        <f t="shared" si="23"/>
        <v>196.65</v>
      </c>
      <c r="AM84" s="115">
        <f t="shared" si="24"/>
        <v>126.1883385</v>
      </c>
      <c r="AN84" s="116">
        <f t="shared" si="25"/>
        <v>172500</v>
      </c>
      <c r="AO84" s="116">
        <f t="shared" si="26"/>
        <v>37490</v>
      </c>
      <c r="AP84" s="117">
        <f t="shared" si="22"/>
        <v>0.7</v>
      </c>
      <c r="AQ84" s="118">
        <f t="shared" si="27"/>
        <v>3.2083473828711551</v>
      </c>
      <c r="AR84" s="119" t="s">
        <v>783</v>
      </c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</row>
    <row r="85" spans="1:123">
      <c r="A85" s="248" t="s">
        <v>525</v>
      </c>
      <c r="B85" s="19" t="s">
        <v>256</v>
      </c>
      <c r="C85" s="21" t="s">
        <v>26</v>
      </c>
      <c r="D85" s="22">
        <v>1</v>
      </c>
      <c r="E85" s="23" t="s">
        <v>740</v>
      </c>
      <c r="F85" s="17"/>
      <c r="G85" s="24">
        <v>2285</v>
      </c>
      <c r="H85" s="17"/>
      <c r="I85" s="17"/>
      <c r="J85" s="25">
        <v>225</v>
      </c>
      <c r="K85" s="176" t="s">
        <v>103</v>
      </c>
      <c r="L85" s="176" t="s">
        <v>112</v>
      </c>
      <c r="M85" s="177" t="s">
        <v>574</v>
      </c>
      <c r="N85" s="190" t="s">
        <v>800</v>
      </c>
      <c r="O85" s="176" t="s">
        <v>760</v>
      </c>
      <c r="P85" s="149">
        <v>0</v>
      </c>
      <c r="Q85" s="178" t="s">
        <v>25</v>
      </c>
      <c r="R85" s="178" t="s">
        <v>26</v>
      </c>
      <c r="S85" s="177">
        <v>2029</v>
      </c>
      <c r="T85" s="179">
        <v>47299</v>
      </c>
      <c r="U85" s="180">
        <v>0.59585500000000002</v>
      </c>
      <c r="V85" s="180">
        <v>0.35</v>
      </c>
      <c r="W85" s="181">
        <f t="shared" si="28"/>
        <v>0.945855</v>
      </c>
      <c r="X85" s="180">
        <v>0.05</v>
      </c>
      <c r="Y85" s="180">
        <v>9.0000000000000011E-2</v>
      </c>
      <c r="Z85" s="180">
        <v>6.8000000000000005E-2</v>
      </c>
      <c r="AA85" s="182">
        <v>0.19800000000000001</v>
      </c>
      <c r="AB85" s="180">
        <v>5.4144999999999999E-2</v>
      </c>
      <c r="AC85" s="113">
        <f t="shared" si="31"/>
        <v>105000</v>
      </c>
      <c r="AD85" s="179"/>
      <c r="AE85" s="183">
        <f t="shared" si="29"/>
        <v>0</v>
      </c>
      <c r="AF85" s="182">
        <f t="shared" si="21"/>
        <v>0</v>
      </c>
      <c r="AG85" s="184">
        <f t="shared" si="30"/>
        <v>18.899999999999999</v>
      </c>
      <c r="AH85" s="183">
        <v>180</v>
      </c>
      <c r="AI85" s="183">
        <v>1000</v>
      </c>
      <c r="AJ85" s="183">
        <v>105</v>
      </c>
      <c r="AK85" s="183">
        <v>850</v>
      </c>
      <c r="AL85" s="184">
        <f t="shared" si="23"/>
        <v>89.25</v>
      </c>
      <c r="AM85" s="184">
        <f t="shared" si="24"/>
        <v>53.180058750000001</v>
      </c>
      <c r="AN85" s="151">
        <f t="shared" si="25"/>
        <v>850000</v>
      </c>
      <c r="AO85" s="151">
        <f t="shared" si="26"/>
        <v>180000</v>
      </c>
      <c r="AP85" s="152">
        <f t="shared" si="22"/>
        <v>0.65</v>
      </c>
      <c r="AQ85" s="153">
        <f t="shared" si="27"/>
        <v>3.0694444444444446</v>
      </c>
      <c r="AR85" s="185" t="s">
        <v>783</v>
      </c>
    </row>
    <row r="86" spans="1:123" s="120" customFormat="1">
      <c r="A86" s="247" t="s">
        <v>456</v>
      </c>
      <c r="B86" s="103" t="s">
        <v>640</v>
      </c>
      <c r="C86" s="104" t="s">
        <v>382</v>
      </c>
      <c r="D86" s="33">
        <v>1</v>
      </c>
      <c r="E86" s="34" t="s">
        <v>740</v>
      </c>
      <c r="F86" s="35"/>
      <c r="G86" s="36">
        <v>2278</v>
      </c>
      <c r="H86" s="35"/>
      <c r="I86" s="35"/>
      <c r="J86" s="37">
        <v>227</v>
      </c>
      <c r="K86" s="105" t="s">
        <v>103</v>
      </c>
      <c r="L86" s="105" t="s">
        <v>582</v>
      </c>
      <c r="M86" s="106" t="s">
        <v>574</v>
      </c>
      <c r="N86" s="154" t="s">
        <v>114</v>
      </c>
      <c r="O86" s="105" t="s">
        <v>760</v>
      </c>
      <c r="P86" s="107">
        <v>0</v>
      </c>
      <c r="Q86" s="108" t="s">
        <v>25</v>
      </c>
      <c r="R86" s="108" t="s">
        <v>759</v>
      </c>
      <c r="S86" s="106">
        <v>2028</v>
      </c>
      <c r="T86" s="109">
        <v>47026</v>
      </c>
      <c r="U86" s="110">
        <v>0.59585500000000002</v>
      </c>
      <c r="V86" s="110">
        <v>0.35</v>
      </c>
      <c r="W86" s="111">
        <f t="shared" si="28"/>
        <v>0.945855</v>
      </c>
      <c r="X86" s="110">
        <v>0.05</v>
      </c>
      <c r="Y86" s="110">
        <v>9.0000000000000011E-2</v>
      </c>
      <c r="Z86" s="110">
        <v>6.8000000000000005E-2</v>
      </c>
      <c r="AA86" s="112">
        <v>0.19800000000000001</v>
      </c>
      <c r="AB86" s="110">
        <v>5.4144999999999999E-2</v>
      </c>
      <c r="AC86" s="113">
        <f t="shared" si="31"/>
        <v>91676.92</v>
      </c>
      <c r="AD86" s="109"/>
      <c r="AE86" s="114">
        <f t="shared" si="29"/>
        <v>0</v>
      </c>
      <c r="AF86" s="112">
        <f t="shared" si="21"/>
        <v>0</v>
      </c>
      <c r="AG86" s="115">
        <f t="shared" si="30"/>
        <v>14.943337960000001</v>
      </c>
      <c r="AH86" s="114">
        <v>163</v>
      </c>
      <c r="AI86" s="114">
        <v>2696.38</v>
      </c>
      <c r="AJ86" s="114">
        <v>34</v>
      </c>
      <c r="AK86" s="114">
        <v>1000</v>
      </c>
      <c r="AL86" s="115">
        <f t="shared" si="23"/>
        <v>91.676919999999996</v>
      </c>
      <c r="AM86" s="115">
        <f t="shared" si="24"/>
        <v>54.626151166599996</v>
      </c>
      <c r="AN86" s="116">
        <f t="shared" si="25"/>
        <v>2696380</v>
      </c>
      <c r="AO86" s="116">
        <f t="shared" si="26"/>
        <v>439509.94</v>
      </c>
      <c r="AP86" s="117">
        <f t="shared" si="22"/>
        <v>0.65</v>
      </c>
      <c r="AQ86" s="118">
        <f t="shared" si="27"/>
        <v>3.9877300613496929</v>
      </c>
      <c r="AR86" s="119" t="s">
        <v>783</v>
      </c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</row>
    <row r="87" spans="1:123">
      <c r="A87" s="248" t="s">
        <v>460</v>
      </c>
      <c r="B87" s="19" t="s">
        <v>259</v>
      </c>
      <c r="C87" s="21" t="s">
        <v>380</v>
      </c>
      <c r="D87" s="22">
        <v>1</v>
      </c>
      <c r="E87" s="23" t="s">
        <v>740</v>
      </c>
      <c r="F87" s="17"/>
      <c r="G87" s="24">
        <v>2287</v>
      </c>
      <c r="H87" s="17"/>
      <c r="I87" s="17"/>
      <c r="J87" s="25">
        <v>233</v>
      </c>
      <c r="K87" s="176" t="s">
        <v>103</v>
      </c>
      <c r="L87" s="176" t="s">
        <v>724</v>
      </c>
      <c r="M87" s="177" t="s">
        <v>574</v>
      </c>
      <c r="N87" s="190" t="s">
        <v>118</v>
      </c>
      <c r="O87" s="176" t="s">
        <v>760</v>
      </c>
      <c r="P87" s="149">
        <v>0</v>
      </c>
      <c r="Q87" s="178" t="s">
        <v>25</v>
      </c>
      <c r="R87" s="178" t="s">
        <v>759</v>
      </c>
      <c r="S87" s="177">
        <v>2028</v>
      </c>
      <c r="T87" s="179">
        <v>47118</v>
      </c>
      <c r="U87" s="180">
        <v>0.46668999999999994</v>
      </c>
      <c r="V87" s="180">
        <v>0.30000000000000004</v>
      </c>
      <c r="W87" s="181">
        <f t="shared" si="28"/>
        <v>0.76668999999999998</v>
      </c>
      <c r="X87" s="180">
        <v>0.05</v>
      </c>
      <c r="Y87" s="180">
        <v>9.0000000000000011E-2</v>
      </c>
      <c r="Z87" s="180">
        <v>6.8000000000000005E-2</v>
      </c>
      <c r="AA87" s="182">
        <v>0.19800000000000001</v>
      </c>
      <c r="AB87" s="180">
        <v>0.23331000000000002</v>
      </c>
      <c r="AC87" s="113">
        <f t="shared" si="31"/>
        <v>94208</v>
      </c>
      <c r="AD87" s="179"/>
      <c r="AE87" s="183">
        <f t="shared" si="29"/>
        <v>0</v>
      </c>
      <c r="AF87" s="182">
        <f t="shared" si="21"/>
        <v>0</v>
      </c>
      <c r="AG87" s="184">
        <f t="shared" si="30"/>
        <v>16.957439999999998</v>
      </c>
      <c r="AH87" s="183">
        <v>180</v>
      </c>
      <c r="AI87" s="183">
        <v>256</v>
      </c>
      <c r="AJ87" s="183">
        <v>368</v>
      </c>
      <c r="AK87" s="183">
        <v>900</v>
      </c>
      <c r="AL87" s="184">
        <f t="shared" si="23"/>
        <v>84.787199999999999</v>
      </c>
      <c r="AM87" s="184">
        <f t="shared" si="24"/>
        <v>39.569338367999997</v>
      </c>
      <c r="AN87" s="151">
        <f t="shared" si="25"/>
        <v>230400</v>
      </c>
      <c r="AO87" s="151">
        <f t="shared" si="26"/>
        <v>46080</v>
      </c>
      <c r="AP87" s="152">
        <f t="shared" si="22"/>
        <v>0.7</v>
      </c>
      <c r="AQ87" s="153">
        <f t="shared" si="27"/>
        <v>3.5</v>
      </c>
      <c r="AR87" s="185" t="s">
        <v>783</v>
      </c>
    </row>
    <row r="88" spans="1:123" s="120" customFormat="1">
      <c r="A88" s="247" t="s">
        <v>460</v>
      </c>
      <c r="B88" s="103" t="s">
        <v>260</v>
      </c>
      <c r="C88" s="104" t="s">
        <v>380</v>
      </c>
      <c r="D88" s="33">
        <v>1</v>
      </c>
      <c r="E88" s="34" t="s">
        <v>740</v>
      </c>
      <c r="F88" s="35"/>
      <c r="G88" s="36">
        <v>2287</v>
      </c>
      <c r="H88" s="35"/>
      <c r="I88" s="35"/>
      <c r="J88" s="37">
        <v>234</v>
      </c>
      <c r="K88" s="105" t="s">
        <v>103</v>
      </c>
      <c r="L88" s="105" t="s">
        <v>724</v>
      </c>
      <c r="M88" s="106" t="s">
        <v>574</v>
      </c>
      <c r="N88" s="154" t="s">
        <v>45</v>
      </c>
      <c r="O88" s="105" t="s">
        <v>760</v>
      </c>
      <c r="P88" s="107">
        <v>0</v>
      </c>
      <c r="Q88" s="108" t="s">
        <v>25</v>
      </c>
      <c r="R88" s="108" t="s">
        <v>26</v>
      </c>
      <c r="S88" s="106">
        <v>2028</v>
      </c>
      <c r="T88" s="109">
        <v>47118</v>
      </c>
      <c r="U88" s="110">
        <v>0.46668999999999994</v>
      </c>
      <c r="V88" s="110">
        <v>0.30000000000000004</v>
      </c>
      <c r="W88" s="111">
        <f t="shared" si="28"/>
        <v>0.76668999999999998</v>
      </c>
      <c r="X88" s="110">
        <v>0.05</v>
      </c>
      <c r="Y88" s="110">
        <v>9.0000000000000011E-2</v>
      </c>
      <c r="Z88" s="110">
        <v>6.8000000000000005E-2</v>
      </c>
      <c r="AA88" s="112">
        <v>0.19800000000000001</v>
      </c>
      <c r="AB88" s="110">
        <v>0.23331000000000002</v>
      </c>
      <c r="AC88" s="113">
        <f t="shared" si="31"/>
        <v>183738</v>
      </c>
      <c r="AD88" s="109"/>
      <c r="AE88" s="114">
        <f t="shared" si="29"/>
        <v>0</v>
      </c>
      <c r="AF88" s="112">
        <f t="shared" si="21"/>
        <v>0</v>
      </c>
      <c r="AG88" s="115">
        <f t="shared" si="30"/>
        <v>33.072839999999999</v>
      </c>
      <c r="AH88" s="114">
        <v>180</v>
      </c>
      <c r="AI88" s="114">
        <v>271</v>
      </c>
      <c r="AJ88" s="114">
        <v>678</v>
      </c>
      <c r="AK88" s="114">
        <v>600</v>
      </c>
      <c r="AL88" s="115">
        <f t="shared" si="23"/>
        <v>110.2428</v>
      </c>
      <c r="AM88" s="115">
        <f t="shared" si="24"/>
        <v>51.449212331999995</v>
      </c>
      <c r="AN88" s="116">
        <f t="shared" si="25"/>
        <v>162600</v>
      </c>
      <c r="AO88" s="116">
        <f t="shared" si="26"/>
        <v>48780</v>
      </c>
      <c r="AP88" s="117">
        <f t="shared" si="22"/>
        <v>0.7</v>
      </c>
      <c r="AQ88" s="118">
        <f t="shared" si="27"/>
        <v>2.3333333333333335</v>
      </c>
      <c r="AR88" s="119" t="s">
        <v>783</v>
      </c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</row>
    <row r="89" spans="1:123">
      <c r="A89" s="248" t="s">
        <v>467</v>
      </c>
      <c r="B89" s="19" t="s">
        <v>268</v>
      </c>
      <c r="C89" s="21" t="s">
        <v>375</v>
      </c>
      <c r="D89" s="22">
        <v>1</v>
      </c>
      <c r="E89" s="23" t="s">
        <v>740</v>
      </c>
      <c r="F89" s="17"/>
      <c r="G89" s="24">
        <v>2281</v>
      </c>
      <c r="H89" s="17"/>
      <c r="I89" s="17"/>
      <c r="J89" s="25">
        <v>255</v>
      </c>
      <c r="K89" s="176" t="s">
        <v>103</v>
      </c>
      <c r="L89" s="176" t="s">
        <v>125</v>
      </c>
      <c r="M89" s="177" t="s">
        <v>583</v>
      </c>
      <c r="N89" s="190" t="s">
        <v>126</v>
      </c>
      <c r="O89" s="176" t="s">
        <v>760</v>
      </c>
      <c r="P89" s="149">
        <v>0</v>
      </c>
      <c r="Q89" s="178" t="s">
        <v>25</v>
      </c>
      <c r="R89" s="178" t="s">
        <v>759</v>
      </c>
      <c r="S89" s="177">
        <v>2028</v>
      </c>
      <c r="T89" s="179">
        <v>47026</v>
      </c>
      <c r="U89" s="180">
        <v>0.63710649999999991</v>
      </c>
      <c r="V89" s="180">
        <v>0.30500000000000005</v>
      </c>
      <c r="W89" s="181">
        <f t="shared" si="28"/>
        <v>0.94210649999999996</v>
      </c>
      <c r="X89" s="180">
        <v>0.05</v>
      </c>
      <c r="Y89" s="180">
        <v>9.0000000000000011E-2</v>
      </c>
      <c r="Z89" s="180">
        <v>6.8000000000000005E-2</v>
      </c>
      <c r="AA89" s="182">
        <v>0.19800000000000001</v>
      </c>
      <c r="AB89" s="180">
        <v>5.7893500000000042E-2</v>
      </c>
      <c r="AC89" s="113">
        <f t="shared" si="31"/>
        <v>183688.94</v>
      </c>
      <c r="AD89" s="179"/>
      <c r="AE89" s="183">
        <f t="shared" si="29"/>
        <v>0</v>
      </c>
      <c r="AF89" s="182">
        <f t="shared" si="21"/>
        <v>0</v>
      </c>
      <c r="AG89" s="184">
        <f t="shared" si="30"/>
        <v>29.941297219999999</v>
      </c>
      <c r="AH89" s="183">
        <v>163</v>
      </c>
      <c r="AI89" s="183">
        <v>174.94184761904762</v>
      </c>
      <c r="AJ89" s="183">
        <v>1050</v>
      </c>
      <c r="AK89" s="183">
        <v>550</v>
      </c>
      <c r="AL89" s="184">
        <f t="shared" si="23"/>
        <v>101.02891700000001</v>
      </c>
      <c r="AM89" s="184">
        <f t="shared" si="24"/>
        <v>64.366179708660496</v>
      </c>
      <c r="AN89" s="151">
        <f t="shared" si="25"/>
        <v>96218.016190476192</v>
      </c>
      <c r="AO89" s="151">
        <f t="shared" si="26"/>
        <v>28515.521161904762</v>
      </c>
      <c r="AP89" s="152">
        <f t="shared" si="22"/>
        <v>0.69499999999999995</v>
      </c>
      <c r="AQ89" s="153">
        <f t="shared" si="27"/>
        <v>2.345092024539877</v>
      </c>
      <c r="AR89" s="185" t="s">
        <v>783</v>
      </c>
    </row>
    <row r="90" spans="1:123" s="103" customFormat="1">
      <c r="A90" s="247" t="s">
        <v>468</v>
      </c>
      <c r="B90" s="103" t="s">
        <v>269</v>
      </c>
      <c r="C90" s="104" t="s">
        <v>375</v>
      </c>
      <c r="D90" s="33">
        <v>1</v>
      </c>
      <c r="E90" s="34" t="s">
        <v>740</v>
      </c>
      <c r="F90" s="35"/>
      <c r="G90" s="36">
        <v>2281</v>
      </c>
      <c r="H90" s="35"/>
      <c r="I90" s="35"/>
      <c r="J90" s="37">
        <v>256</v>
      </c>
      <c r="K90" s="105" t="s">
        <v>103</v>
      </c>
      <c r="L90" s="105" t="s">
        <v>125</v>
      </c>
      <c r="M90" s="106" t="s">
        <v>583</v>
      </c>
      <c r="N90" s="154" t="s">
        <v>127</v>
      </c>
      <c r="O90" s="105" t="s">
        <v>760</v>
      </c>
      <c r="P90" s="107">
        <v>0</v>
      </c>
      <c r="Q90" s="108" t="s">
        <v>25</v>
      </c>
      <c r="R90" s="108" t="s">
        <v>26</v>
      </c>
      <c r="S90" s="106">
        <v>2028</v>
      </c>
      <c r="T90" s="109">
        <v>47026</v>
      </c>
      <c r="U90" s="110">
        <v>0.63710649999999991</v>
      </c>
      <c r="V90" s="110">
        <v>0.30500000000000005</v>
      </c>
      <c r="W90" s="111">
        <f t="shared" si="28"/>
        <v>0.94210649999999996</v>
      </c>
      <c r="X90" s="110">
        <v>0.05</v>
      </c>
      <c r="Y90" s="110">
        <v>9.0000000000000011E-2</v>
      </c>
      <c r="Z90" s="110">
        <v>6.8000000000000005E-2</v>
      </c>
      <c r="AA90" s="112">
        <v>0.19800000000000001</v>
      </c>
      <c r="AB90" s="110">
        <v>5.7893500000000042E-2</v>
      </c>
      <c r="AC90" s="113">
        <f t="shared" si="31"/>
        <v>94010</v>
      </c>
      <c r="AD90" s="109"/>
      <c r="AE90" s="114">
        <f t="shared" si="29"/>
        <v>0</v>
      </c>
      <c r="AF90" s="112">
        <f t="shared" si="21"/>
        <v>0</v>
      </c>
      <c r="AG90" s="115">
        <f t="shared" si="30"/>
        <v>15.32363</v>
      </c>
      <c r="AH90" s="114">
        <v>163</v>
      </c>
      <c r="AI90" s="114">
        <v>170</v>
      </c>
      <c r="AJ90" s="114">
        <v>553</v>
      </c>
      <c r="AK90" s="114">
        <v>550</v>
      </c>
      <c r="AL90" s="115">
        <f t="shared" si="23"/>
        <v>51.705500000000001</v>
      </c>
      <c r="AM90" s="115">
        <f t="shared" si="24"/>
        <v>32.941910135749993</v>
      </c>
      <c r="AN90" s="116">
        <f t="shared" si="25"/>
        <v>93500</v>
      </c>
      <c r="AO90" s="116">
        <f t="shared" si="26"/>
        <v>27710</v>
      </c>
      <c r="AP90" s="117">
        <f t="shared" si="22"/>
        <v>0.69499999999999995</v>
      </c>
      <c r="AQ90" s="118">
        <f t="shared" si="27"/>
        <v>2.3450920245398774</v>
      </c>
      <c r="AR90" s="119" t="s">
        <v>783</v>
      </c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</row>
    <row r="91" spans="1:123">
      <c r="A91" s="248" t="s">
        <v>469</v>
      </c>
      <c r="B91" s="19" t="s">
        <v>270</v>
      </c>
      <c r="C91" s="21" t="s">
        <v>374</v>
      </c>
      <c r="D91" s="22">
        <v>1</v>
      </c>
      <c r="E91" s="23" t="s">
        <v>740</v>
      </c>
      <c r="F91" s="17"/>
      <c r="G91" s="24">
        <v>2281</v>
      </c>
      <c r="H91" s="17"/>
      <c r="I91" s="17"/>
      <c r="J91" s="25">
        <v>257</v>
      </c>
      <c r="K91" s="176" t="s">
        <v>103</v>
      </c>
      <c r="L91" s="176" t="s">
        <v>125</v>
      </c>
      <c r="M91" s="177" t="s">
        <v>583</v>
      </c>
      <c r="N91" s="190" t="s">
        <v>128</v>
      </c>
      <c r="O91" s="176" t="s">
        <v>760</v>
      </c>
      <c r="P91" s="149">
        <v>0</v>
      </c>
      <c r="Q91" s="178" t="s">
        <v>25</v>
      </c>
      <c r="R91" s="178" t="s">
        <v>26</v>
      </c>
      <c r="S91" s="177">
        <v>2028</v>
      </c>
      <c r="T91" s="179">
        <v>47026</v>
      </c>
      <c r="U91" s="180">
        <v>0.65085700000000002</v>
      </c>
      <c r="V91" s="180">
        <v>0.29000000000000004</v>
      </c>
      <c r="W91" s="181">
        <f t="shared" si="28"/>
        <v>0.94085700000000005</v>
      </c>
      <c r="X91" s="180">
        <v>0.05</v>
      </c>
      <c r="Y91" s="180">
        <v>9.0000000000000011E-2</v>
      </c>
      <c r="Z91" s="180">
        <v>6.8000000000000005E-2</v>
      </c>
      <c r="AA91" s="182">
        <v>0.19800000000000001</v>
      </c>
      <c r="AB91" s="180">
        <v>5.9142999999999946E-2</v>
      </c>
      <c r="AC91" s="113">
        <f t="shared" si="31"/>
        <v>101120</v>
      </c>
      <c r="AD91" s="179"/>
      <c r="AE91" s="183">
        <f t="shared" si="29"/>
        <v>0</v>
      </c>
      <c r="AF91" s="182">
        <f t="shared" si="21"/>
        <v>0</v>
      </c>
      <c r="AG91" s="184">
        <f t="shared" si="30"/>
        <v>16.482559999999999</v>
      </c>
      <c r="AH91" s="183">
        <v>163</v>
      </c>
      <c r="AI91" s="183">
        <v>160</v>
      </c>
      <c r="AJ91" s="183">
        <v>632</v>
      </c>
      <c r="AK91" s="183">
        <v>600</v>
      </c>
      <c r="AL91" s="184">
        <f t="shared" si="23"/>
        <v>60.671999999999997</v>
      </c>
      <c r="AM91" s="184">
        <f t="shared" si="24"/>
        <v>39.488795904</v>
      </c>
      <c r="AN91" s="151">
        <f t="shared" si="25"/>
        <v>96000</v>
      </c>
      <c r="AO91" s="151">
        <f t="shared" si="26"/>
        <v>26080</v>
      </c>
      <c r="AP91" s="152">
        <f t="shared" si="22"/>
        <v>0.71</v>
      </c>
      <c r="AQ91" s="153">
        <f t="shared" si="27"/>
        <v>2.613496932515337</v>
      </c>
      <c r="AR91" s="185" t="s">
        <v>783</v>
      </c>
    </row>
    <row r="92" spans="1:123" s="120" customFormat="1">
      <c r="A92" s="247" t="s">
        <v>470</v>
      </c>
      <c r="B92" s="103" t="s">
        <v>271</v>
      </c>
      <c r="C92" s="104" t="s">
        <v>373</v>
      </c>
      <c r="D92" s="33">
        <v>1</v>
      </c>
      <c r="E92" s="34" t="s">
        <v>740</v>
      </c>
      <c r="F92" s="35"/>
      <c r="G92" s="36">
        <v>2281</v>
      </c>
      <c r="H92" s="35"/>
      <c r="I92" s="35"/>
      <c r="J92" s="37">
        <v>258</v>
      </c>
      <c r="K92" s="105" t="s">
        <v>103</v>
      </c>
      <c r="L92" s="105" t="s">
        <v>125</v>
      </c>
      <c r="M92" s="106" t="s">
        <v>583</v>
      </c>
      <c r="N92" s="154" t="s">
        <v>129</v>
      </c>
      <c r="O92" s="105" t="s">
        <v>760</v>
      </c>
      <c r="P92" s="107">
        <v>0</v>
      </c>
      <c r="Q92" s="108" t="s">
        <v>25</v>
      </c>
      <c r="R92" s="108" t="s">
        <v>26</v>
      </c>
      <c r="S92" s="106">
        <v>2028</v>
      </c>
      <c r="T92" s="109">
        <v>47026</v>
      </c>
      <c r="U92" s="110">
        <v>0.65085700000000002</v>
      </c>
      <c r="V92" s="110">
        <v>0.29000000000000004</v>
      </c>
      <c r="W92" s="111">
        <f t="shared" si="28"/>
        <v>0.94085700000000005</v>
      </c>
      <c r="X92" s="110">
        <v>0.05</v>
      </c>
      <c r="Y92" s="110">
        <v>9.0000000000000011E-2</v>
      </c>
      <c r="Z92" s="110">
        <v>6.8000000000000005E-2</v>
      </c>
      <c r="AA92" s="112">
        <v>0.19800000000000001</v>
      </c>
      <c r="AB92" s="110">
        <v>5.9142999999999946E-2</v>
      </c>
      <c r="AC92" s="113">
        <f t="shared" si="31"/>
        <v>88800</v>
      </c>
      <c r="AD92" s="109"/>
      <c r="AE92" s="114">
        <f t="shared" si="29"/>
        <v>0</v>
      </c>
      <c r="AF92" s="112">
        <f t="shared" si="21"/>
        <v>0</v>
      </c>
      <c r="AG92" s="115">
        <f t="shared" si="30"/>
        <v>14.474399999999999</v>
      </c>
      <c r="AH92" s="114">
        <v>163</v>
      </c>
      <c r="AI92" s="114">
        <v>160</v>
      </c>
      <c r="AJ92" s="114">
        <v>555</v>
      </c>
      <c r="AK92" s="114">
        <v>600</v>
      </c>
      <c r="AL92" s="115">
        <f t="shared" si="23"/>
        <v>53.28</v>
      </c>
      <c r="AM92" s="115">
        <f t="shared" si="24"/>
        <v>34.677660960000004</v>
      </c>
      <c r="AN92" s="116">
        <f t="shared" si="25"/>
        <v>96000</v>
      </c>
      <c r="AO92" s="116">
        <f t="shared" si="26"/>
        <v>26080</v>
      </c>
      <c r="AP92" s="117">
        <f t="shared" si="22"/>
        <v>0.71</v>
      </c>
      <c r="AQ92" s="118">
        <f t="shared" si="27"/>
        <v>2.6134969325153374</v>
      </c>
      <c r="AR92" s="119" t="s">
        <v>783</v>
      </c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</row>
    <row r="93" spans="1:123">
      <c r="A93" s="248" t="s">
        <v>736</v>
      </c>
      <c r="B93" s="19" t="s">
        <v>733</v>
      </c>
      <c r="C93" s="19"/>
      <c r="D93" s="22">
        <v>1</v>
      </c>
      <c r="E93" s="23" t="s">
        <v>740</v>
      </c>
      <c r="F93" s="17"/>
      <c r="G93" s="24">
        <v>2727</v>
      </c>
      <c r="H93" s="17"/>
      <c r="I93" s="17"/>
      <c r="J93" s="25"/>
      <c r="K93" s="176" t="s">
        <v>103</v>
      </c>
      <c r="L93" s="176" t="s">
        <v>734</v>
      </c>
      <c r="M93" s="177" t="s">
        <v>572</v>
      </c>
      <c r="N93" s="190" t="s">
        <v>735</v>
      </c>
      <c r="O93" s="176" t="s">
        <v>760</v>
      </c>
      <c r="P93" s="149">
        <v>0</v>
      </c>
      <c r="Q93" s="178" t="s">
        <v>73</v>
      </c>
      <c r="R93" s="178" t="s">
        <v>759</v>
      </c>
      <c r="S93" s="177">
        <v>2028</v>
      </c>
      <c r="T93" s="179">
        <v>46856</v>
      </c>
      <c r="U93" s="180">
        <v>0.56999999999999995</v>
      </c>
      <c r="V93" s="180">
        <v>0.43</v>
      </c>
      <c r="W93" s="181">
        <f t="shared" si="28"/>
        <v>1</v>
      </c>
      <c r="X93" s="180"/>
      <c r="Y93" s="180"/>
      <c r="Z93" s="180"/>
      <c r="AA93" s="182">
        <v>0.19800000000000001</v>
      </c>
      <c r="AB93" s="180"/>
      <c r="AC93" s="113">
        <f t="shared" si="31"/>
        <v>144500</v>
      </c>
      <c r="AD93" s="179"/>
      <c r="AE93" s="183">
        <f t="shared" si="29"/>
        <v>0</v>
      </c>
      <c r="AF93" s="182">
        <f t="shared" si="21"/>
        <v>0</v>
      </c>
      <c r="AG93" s="184">
        <f t="shared" si="30"/>
        <v>72.25</v>
      </c>
      <c r="AH93" s="183">
        <v>500</v>
      </c>
      <c r="AI93" s="183">
        <v>850</v>
      </c>
      <c r="AJ93" s="183">
        <v>170</v>
      </c>
      <c r="AK93" s="183">
        <v>3500</v>
      </c>
      <c r="AL93" s="184">
        <f t="shared" si="23"/>
        <v>505.75</v>
      </c>
      <c r="AM93" s="184">
        <f t="shared" si="24"/>
        <v>288.27749999999997</v>
      </c>
      <c r="AN93" s="151">
        <f t="shared" si="25"/>
        <v>2975000</v>
      </c>
      <c r="AO93" s="151">
        <f t="shared" si="26"/>
        <v>425000</v>
      </c>
      <c r="AP93" s="152">
        <f t="shared" si="22"/>
        <v>0.56999999999999995</v>
      </c>
      <c r="AQ93" s="153">
        <f t="shared" si="27"/>
        <v>3.9899999999999998</v>
      </c>
      <c r="AR93" s="185" t="s">
        <v>783</v>
      </c>
    </row>
    <row r="94" spans="1:123" s="120" customFormat="1">
      <c r="A94" s="247" t="s">
        <v>499</v>
      </c>
      <c r="B94" s="103" t="s">
        <v>655</v>
      </c>
      <c r="C94" s="104" t="s">
        <v>348</v>
      </c>
      <c r="D94" s="33">
        <v>1</v>
      </c>
      <c r="E94" s="34" t="s">
        <v>740</v>
      </c>
      <c r="F94" s="35"/>
      <c r="G94" s="36">
        <v>2383</v>
      </c>
      <c r="H94" s="35"/>
      <c r="I94" s="35"/>
      <c r="J94" s="37">
        <v>314</v>
      </c>
      <c r="K94" s="105" t="s">
        <v>143</v>
      </c>
      <c r="L94" s="105" t="s">
        <v>728</v>
      </c>
      <c r="M94" s="106" t="s">
        <v>575</v>
      </c>
      <c r="N94" s="154" t="s">
        <v>586</v>
      </c>
      <c r="O94" s="105" t="s">
        <v>760</v>
      </c>
      <c r="P94" s="107">
        <v>0</v>
      </c>
      <c r="Q94" s="108" t="s">
        <v>25</v>
      </c>
      <c r="R94" s="108" t="s">
        <v>26</v>
      </c>
      <c r="S94" s="106">
        <v>2027</v>
      </c>
      <c r="T94" s="109">
        <v>46568</v>
      </c>
      <c r="U94" s="110">
        <v>0.64800000000000002</v>
      </c>
      <c r="V94" s="110">
        <v>0.18999999999999995</v>
      </c>
      <c r="W94" s="111">
        <f t="shared" si="28"/>
        <v>0.83799999999999997</v>
      </c>
      <c r="X94" s="110">
        <v>7.0000000000000007E-2</v>
      </c>
      <c r="Y94" s="110">
        <v>9.5000000000000001E-2</v>
      </c>
      <c r="Z94" s="110">
        <v>6.8000000000000005E-2</v>
      </c>
      <c r="AA94" s="112">
        <v>0.19800000000000001</v>
      </c>
      <c r="AB94" s="110">
        <v>0.16200000000000003</v>
      </c>
      <c r="AC94" s="113">
        <f t="shared" si="31"/>
        <v>166930</v>
      </c>
      <c r="AD94" s="109"/>
      <c r="AE94" s="114">
        <f t="shared" si="29"/>
        <v>0</v>
      </c>
      <c r="AF94" s="112">
        <f t="shared" si="21"/>
        <v>0</v>
      </c>
      <c r="AG94" s="115">
        <f t="shared" si="30"/>
        <v>29.21275</v>
      </c>
      <c r="AH94" s="114">
        <v>175</v>
      </c>
      <c r="AI94" s="114">
        <v>160.04793863854266</v>
      </c>
      <c r="AJ94" s="114">
        <v>1043</v>
      </c>
      <c r="AK94" s="114">
        <v>550</v>
      </c>
      <c r="AL94" s="115">
        <f t="shared" si="23"/>
        <v>91.811499999999995</v>
      </c>
      <c r="AM94" s="115">
        <f t="shared" si="24"/>
        <v>59.493851999999997</v>
      </c>
      <c r="AN94" s="116">
        <f t="shared" si="25"/>
        <v>88026.366251198458</v>
      </c>
      <c r="AO94" s="116">
        <f t="shared" si="26"/>
        <v>28008.389261744967</v>
      </c>
      <c r="AP94" s="117">
        <f t="shared" si="22"/>
        <v>0.81</v>
      </c>
      <c r="AQ94" s="118">
        <f t="shared" si="27"/>
        <v>2.5457142857142858</v>
      </c>
      <c r="AR94" s="119" t="s">
        <v>783</v>
      </c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</row>
    <row r="95" spans="1:123">
      <c r="A95" s="248" t="s">
        <v>479</v>
      </c>
      <c r="B95" s="19" t="s">
        <v>659</v>
      </c>
      <c r="C95" s="21" t="s">
        <v>364</v>
      </c>
      <c r="D95" s="22">
        <v>1</v>
      </c>
      <c r="E95" s="23" t="s">
        <v>740</v>
      </c>
      <c r="F95" s="17"/>
      <c r="G95" s="24">
        <v>2372</v>
      </c>
      <c r="H95" s="17"/>
      <c r="I95" s="17"/>
      <c r="J95" s="25">
        <v>273</v>
      </c>
      <c r="K95" s="176" t="s">
        <v>143</v>
      </c>
      <c r="L95" s="176" t="s">
        <v>144</v>
      </c>
      <c r="M95" s="177" t="s">
        <v>575</v>
      </c>
      <c r="N95" s="190" t="s">
        <v>593</v>
      </c>
      <c r="O95" s="176" t="s">
        <v>760</v>
      </c>
      <c r="P95" s="149">
        <v>0</v>
      </c>
      <c r="Q95" s="178" t="s">
        <v>25</v>
      </c>
      <c r="R95" s="178" t="s">
        <v>26</v>
      </c>
      <c r="S95" s="177">
        <v>2027</v>
      </c>
      <c r="T95" s="179">
        <v>46752</v>
      </c>
      <c r="U95" s="180">
        <v>0.8</v>
      </c>
      <c r="V95" s="180"/>
      <c r="W95" s="181">
        <f t="shared" si="28"/>
        <v>0.8</v>
      </c>
      <c r="X95" s="180"/>
      <c r="Y95" s="180"/>
      <c r="Z95" s="180"/>
      <c r="AA95" s="182">
        <v>0.19800000000000001</v>
      </c>
      <c r="AB95" s="180">
        <v>0.19999999999999996</v>
      </c>
      <c r="AC95" s="113">
        <f t="shared" si="31"/>
        <v>46181.9</v>
      </c>
      <c r="AD95" s="179"/>
      <c r="AE95" s="183">
        <f t="shared" si="29"/>
        <v>0</v>
      </c>
      <c r="AF95" s="182">
        <f t="shared" si="21"/>
        <v>0</v>
      </c>
      <c r="AG95" s="184">
        <f t="shared" si="30"/>
        <v>8.0818325000000009</v>
      </c>
      <c r="AH95" s="183">
        <v>175</v>
      </c>
      <c r="AI95" s="183">
        <v>219.91380952380953</v>
      </c>
      <c r="AJ95" s="183">
        <v>210</v>
      </c>
      <c r="AK95" s="183">
        <v>600</v>
      </c>
      <c r="AL95" s="184">
        <f t="shared" si="23"/>
        <v>27.709140000000001</v>
      </c>
      <c r="AM95" s="184">
        <f t="shared" si="24"/>
        <v>22.167312000000003</v>
      </c>
      <c r="AN95" s="151">
        <f t="shared" si="25"/>
        <v>131948.28571428571</v>
      </c>
      <c r="AO95" s="151">
        <f t="shared" si="26"/>
        <v>38484.916666666672</v>
      </c>
      <c r="AP95" s="152">
        <f t="shared" si="22"/>
        <v>1</v>
      </c>
      <c r="AQ95" s="153">
        <f t="shared" si="27"/>
        <v>3.4285714285714284</v>
      </c>
      <c r="AR95" s="185" t="s">
        <v>783</v>
      </c>
    </row>
    <row r="96" spans="1:123" s="120" customFormat="1">
      <c r="A96" s="247" t="s">
        <v>479</v>
      </c>
      <c r="B96" s="103" t="s">
        <v>661</v>
      </c>
      <c r="C96" s="104" t="s">
        <v>364</v>
      </c>
      <c r="D96" s="33">
        <v>1</v>
      </c>
      <c r="E96" s="34" t="s">
        <v>740</v>
      </c>
      <c r="F96" s="35"/>
      <c r="G96" s="36">
        <v>2372</v>
      </c>
      <c r="H96" s="35"/>
      <c r="I96" s="35"/>
      <c r="J96" s="37">
        <v>275</v>
      </c>
      <c r="K96" s="105" t="s">
        <v>143</v>
      </c>
      <c r="L96" s="105" t="s">
        <v>144</v>
      </c>
      <c r="M96" s="106" t="s">
        <v>575</v>
      </c>
      <c r="N96" s="154" t="s">
        <v>595</v>
      </c>
      <c r="O96" s="105" t="s">
        <v>760</v>
      </c>
      <c r="P96" s="107">
        <v>0</v>
      </c>
      <c r="Q96" s="108" t="s">
        <v>25</v>
      </c>
      <c r="R96" s="108" t="s">
        <v>26</v>
      </c>
      <c r="S96" s="106">
        <v>2027</v>
      </c>
      <c r="T96" s="109">
        <v>46752</v>
      </c>
      <c r="U96" s="110">
        <v>0.8</v>
      </c>
      <c r="V96" s="110"/>
      <c r="W96" s="111">
        <f t="shared" si="28"/>
        <v>0.8</v>
      </c>
      <c r="X96" s="110"/>
      <c r="Y96" s="110"/>
      <c r="Z96" s="110"/>
      <c r="AA96" s="112">
        <v>0.19800000000000001</v>
      </c>
      <c r="AB96" s="110">
        <v>0.19999999999999996</v>
      </c>
      <c r="AC96" s="113">
        <f t="shared" si="31"/>
        <v>20280</v>
      </c>
      <c r="AD96" s="109"/>
      <c r="AE96" s="114">
        <f t="shared" si="29"/>
        <v>0</v>
      </c>
      <c r="AF96" s="112">
        <f t="shared" si="21"/>
        <v>0</v>
      </c>
      <c r="AG96" s="115">
        <f t="shared" si="30"/>
        <v>3.5489999999999999</v>
      </c>
      <c r="AH96" s="114">
        <v>175</v>
      </c>
      <c r="AI96" s="114">
        <v>260</v>
      </c>
      <c r="AJ96" s="114">
        <v>78</v>
      </c>
      <c r="AK96" s="114">
        <v>600</v>
      </c>
      <c r="AL96" s="115">
        <f t="shared" si="23"/>
        <v>12.167999999999999</v>
      </c>
      <c r="AM96" s="115">
        <f t="shared" si="24"/>
        <v>9.7344000000000008</v>
      </c>
      <c r="AN96" s="116">
        <f t="shared" si="25"/>
        <v>156000</v>
      </c>
      <c r="AO96" s="116">
        <f t="shared" si="26"/>
        <v>45500</v>
      </c>
      <c r="AP96" s="117">
        <f t="shared" si="22"/>
        <v>1</v>
      </c>
      <c r="AQ96" s="118">
        <f t="shared" si="27"/>
        <v>3.4285714285714284</v>
      </c>
      <c r="AR96" s="119" t="s">
        <v>783</v>
      </c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</row>
    <row r="97" spans="1:123">
      <c r="A97" s="248" t="s">
        <v>480</v>
      </c>
      <c r="B97" s="19" t="s">
        <v>662</v>
      </c>
      <c r="C97" s="21" t="s">
        <v>363</v>
      </c>
      <c r="D97" s="22">
        <v>1</v>
      </c>
      <c r="E97" s="23" t="s">
        <v>740</v>
      </c>
      <c r="F97" s="17"/>
      <c r="G97" s="24">
        <v>2377</v>
      </c>
      <c r="H97" s="17"/>
      <c r="I97" s="17"/>
      <c r="J97" s="25">
        <v>276</v>
      </c>
      <c r="K97" s="176" t="s">
        <v>143</v>
      </c>
      <c r="L97" s="176" t="s">
        <v>145</v>
      </c>
      <c r="M97" s="177" t="s">
        <v>575</v>
      </c>
      <c r="N97" s="190" t="s">
        <v>596</v>
      </c>
      <c r="O97" s="176" t="s">
        <v>760</v>
      </c>
      <c r="P97" s="149">
        <v>0</v>
      </c>
      <c r="Q97" s="178" t="s">
        <v>25</v>
      </c>
      <c r="R97" s="178" t="s">
        <v>759</v>
      </c>
      <c r="S97" s="177">
        <v>2027</v>
      </c>
      <c r="T97" s="179">
        <v>46752</v>
      </c>
      <c r="U97" s="180">
        <v>0.56000000000000005</v>
      </c>
      <c r="V97" s="180">
        <v>0.29999999999999993</v>
      </c>
      <c r="W97" s="181">
        <f t="shared" si="28"/>
        <v>0.86</v>
      </c>
      <c r="X97" s="180">
        <v>7.0000000000000007E-2</v>
      </c>
      <c r="Y97" s="180">
        <v>9.5000000000000001E-2</v>
      </c>
      <c r="Z97" s="180">
        <v>6.8000000000000005E-2</v>
      </c>
      <c r="AA97" s="182">
        <v>0.19800000000000001</v>
      </c>
      <c r="AB97" s="180">
        <v>0.14000000000000001</v>
      </c>
      <c r="AC97" s="113">
        <f t="shared" si="31"/>
        <v>249900</v>
      </c>
      <c r="AD97" s="179"/>
      <c r="AE97" s="183">
        <f t="shared" si="29"/>
        <v>0</v>
      </c>
      <c r="AF97" s="182">
        <f t="shared" si="21"/>
        <v>0</v>
      </c>
      <c r="AG97" s="184">
        <f t="shared" si="30"/>
        <v>43.732500000000002</v>
      </c>
      <c r="AH97" s="183">
        <v>175</v>
      </c>
      <c r="AI97" s="183">
        <v>210</v>
      </c>
      <c r="AJ97" s="183">
        <v>1190</v>
      </c>
      <c r="AK97" s="183">
        <v>650</v>
      </c>
      <c r="AL97" s="184">
        <f t="shared" si="23"/>
        <v>162.435</v>
      </c>
      <c r="AM97" s="184">
        <f t="shared" si="24"/>
        <v>90.963600000000014</v>
      </c>
      <c r="AN97" s="151">
        <f t="shared" si="25"/>
        <v>136500</v>
      </c>
      <c r="AO97" s="151">
        <f t="shared" si="26"/>
        <v>36750</v>
      </c>
      <c r="AP97" s="152">
        <f t="shared" si="22"/>
        <v>0.70000000000000007</v>
      </c>
      <c r="AQ97" s="153">
        <f t="shared" si="27"/>
        <v>2.6</v>
      </c>
      <c r="AR97" s="185" t="s">
        <v>783</v>
      </c>
    </row>
    <row r="98" spans="1:123" s="120" customFormat="1">
      <c r="A98" s="247" t="s">
        <v>483</v>
      </c>
      <c r="B98" s="103" t="s">
        <v>668</v>
      </c>
      <c r="C98" s="104" t="s">
        <v>362</v>
      </c>
      <c r="D98" s="33">
        <v>1</v>
      </c>
      <c r="E98" s="34" t="s">
        <v>740</v>
      </c>
      <c r="F98" s="35"/>
      <c r="G98" s="36">
        <v>2381</v>
      </c>
      <c r="H98" s="35"/>
      <c r="I98" s="35"/>
      <c r="J98" s="37">
        <v>284</v>
      </c>
      <c r="K98" s="105" t="s">
        <v>143</v>
      </c>
      <c r="L98" s="105" t="s">
        <v>146</v>
      </c>
      <c r="M98" s="106" t="s">
        <v>575</v>
      </c>
      <c r="N98" s="154" t="s">
        <v>825</v>
      </c>
      <c r="O98" s="105" t="s">
        <v>760</v>
      </c>
      <c r="P98" s="107">
        <v>0</v>
      </c>
      <c r="Q98" s="108" t="s">
        <v>25</v>
      </c>
      <c r="R98" s="108" t="s">
        <v>26</v>
      </c>
      <c r="S98" s="106">
        <v>2028</v>
      </c>
      <c r="T98" s="109">
        <v>47118</v>
      </c>
      <c r="U98" s="110">
        <v>0.43409999999999999</v>
      </c>
      <c r="V98" s="110">
        <v>0.45740000000000003</v>
      </c>
      <c r="W98" s="111">
        <f t="shared" si="28"/>
        <v>0.89149999999999996</v>
      </c>
      <c r="X98" s="110">
        <v>7.0000000000000007E-2</v>
      </c>
      <c r="Y98" s="110">
        <v>0.06</v>
      </c>
      <c r="Z98" s="110">
        <v>6.8000000000000005E-2</v>
      </c>
      <c r="AA98" s="112">
        <v>0.19800000000000001</v>
      </c>
      <c r="AB98" s="110">
        <v>0.10850000000000004</v>
      </c>
      <c r="AC98" s="113">
        <f t="shared" si="31"/>
        <v>168000</v>
      </c>
      <c r="AD98" s="109"/>
      <c r="AE98" s="114">
        <f t="shared" si="29"/>
        <v>0</v>
      </c>
      <c r="AF98" s="112">
        <f t="shared" si="21"/>
        <v>0</v>
      </c>
      <c r="AG98" s="115">
        <f t="shared" si="30"/>
        <v>29.4</v>
      </c>
      <c r="AH98" s="114">
        <v>175</v>
      </c>
      <c r="AI98" s="114">
        <v>200</v>
      </c>
      <c r="AJ98" s="114">
        <v>840</v>
      </c>
      <c r="AK98" s="114">
        <v>700</v>
      </c>
      <c r="AL98" s="115">
        <f t="shared" si="23"/>
        <v>117.6</v>
      </c>
      <c r="AM98" s="115">
        <f t="shared" si="24"/>
        <v>51.050159999999998</v>
      </c>
      <c r="AN98" s="116">
        <f t="shared" si="25"/>
        <v>140000</v>
      </c>
      <c r="AO98" s="116">
        <f t="shared" si="26"/>
        <v>35000</v>
      </c>
      <c r="AP98" s="117">
        <f t="shared" si="22"/>
        <v>0.54259999999999997</v>
      </c>
      <c r="AQ98" s="118">
        <f t="shared" si="27"/>
        <v>2.1703999999999999</v>
      </c>
      <c r="AR98" s="119" t="s">
        <v>783</v>
      </c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</row>
    <row r="99" spans="1:123">
      <c r="A99" s="248" t="s">
        <v>490</v>
      </c>
      <c r="B99" s="19" t="s">
        <v>681</v>
      </c>
      <c r="C99" s="21" t="s">
        <v>355</v>
      </c>
      <c r="D99" s="22">
        <v>1</v>
      </c>
      <c r="E99" s="23" t="s">
        <v>740</v>
      </c>
      <c r="F99" s="17"/>
      <c r="G99" s="24">
        <v>2374</v>
      </c>
      <c r="H99" s="17"/>
      <c r="I99" s="17"/>
      <c r="J99" s="25">
        <v>302</v>
      </c>
      <c r="K99" s="176" t="s">
        <v>143</v>
      </c>
      <c r="L99" s="176" t="s">
        <v>149</v>
      </c>
      <c r="M99" s="177" t="s">
        <v>575</v>
      </c>
      <c r="N99" s="190" t="s">
        <v>612</v>
      </c>
      <c r="O99" s="176" t="s">
        <v>760</v>
      </c>
      <c r="P99" s="149">
        <v>0</v>
      </c>
      <c r="Q99" s="178" t="s">
        <v>25</v>
      </c>
      <c r="R99" s="178" t="s">
        <v>26</v>
      </c>
      <c r="S99" s="177">
        <v>2027</v>
      </c>
      <c r="T99" s="179">
        <v>46660</v>
      </c>
      <c r="U99" s="180">
        <v>0.4</v>
      </c>
      <c r="V99" s="180">
        <v>0.5</v>
      </c>
      <c r="W99" s="181">
        <f t="shared" si="28"/>
        <v>0.9</v>
      </c>
      <c r="X99" s="180">
        <v>7.0000000000000007E-2</v>
      </c>
      <c r="Y99" s="180">
        <v>9.5000000000000001E-2</v>
      </c>
      <c r="Z99" s="180">
        <v>6.8000000000000005E-2</v>
      </c>
      <c r="AA99" s="182">
        <v>0.19800000000000001</v>
      </c>
      <c r="AB99" s="180">
        <v>9.9999999999999978E-2</v>
      </c>
      <c r="AC99" s="113">
        <f t="shared" si="31"/>
        <v>79997.34</v>
      </c>
      <c r="AD99" s="179"/>
      <c r="AE99" s="183">
        <f t="shared" si="29"/>
        <v>0</v>
      </c>
      <c r="AF99" s="182">
        <f t="shared" si="21"/>
        <v>0</v>
      </c>
      <c r="AG99" s="184">
        <f t="shared" si="30"/>
        <v>13.999534499999998</v>
      </c>
      <c r="AH99" s="183">
        <v>175</v>
      </c>
      <c r="AI99" s="183">
        <v>330.567520661157</v>
      </c>
      <c r="AJ99" s="183">
        <v>242</v>
      </c>
      <c r="AK99" s="183">
        <v>750</v>
      </c>
      <c r="AL99" s="184">
        <f t="shared" si="23"/>
        <v>59.998004999999999</v>
      </c>
      <c r="AM99" s="184">
        <f t="shared" si="24"/>
        <v>23.999202</v>
      </c>
      <c r="AN99" s="151">
        <f t="shared" si="25"/>
        <v>247925.64049586776</v>
      </c>
      <c r="AO99" s="151">
        <f t="shared" si="26"/>
        <v>57849.316115702473</v>
      </c>
      <c r="AP99" s="152">
        <f t="shared" si="22"/>
        <v>0.5</v>
      </c>
      <c r="AQ99" s="153">
        <f t="shared" si="27"/>
        <v>2.1428571428571432</v>
      </c>
      <c r="AR99" s="185" t="s">
        <v>783</v>
      </c>
    </row>
    <row r="100" spans="1:123" s="120" customFormat="1">
      <c r="A100" s="247" t="s">
        <v>496</v>
      </c>
      <c r="B100" s="103" t="s">
        <v>690</v>
      </c>
      <c r="C100" s="104" t="s">
        <v>351</v>
      </c>
      <c r="D100" s="33">
        <v>1</v>
      </c>
      <c r="E100" s="34" t="s">
        <v>740</v>
      </c>
      <c r="F100" s="35"/>
      <c r="G100" s="36">
        <v>2389</v>
      </c>
      <c r="H100" s="35"/>
      <c r="I100" s="35"/>
      <c r="J100" s="37">
        <v>311</v>
      </c>
      <c r="K100" s="105" t="s">
        <v>143</v>
      </c>
      <c r="L100" s="105" t="s">
        <v>151</v>
      </c>
      <c r="M100" s="106" t="s">
        <v>575</v>
      </c>
      <c r="N100" s="154" t="s">
        <v>623</v>
      </c>
      <c r="O100" s="105" t="s">
        <v>760</v>
      </c>
      <c r="P100" s="107">
        <v>0</v>
      </c>
      <c r="Q100" s="108" t="s">
        <v>25</v>
      </c>
      <c r="R100" s="108" t="s">
        <v>26</v>
      </c>
      <c r="S100" s="106">
        <v>2027</v>
      </c>
      <c r="T100" s="109">
        <v>46477</v>
      </c>
      <c r="U100" s="110">
        <v>0.624</v>
      </c>
      <c r="V100" s="110">
        <v>0.21999999999999997</v>
      </c>
      <c r="W100" s="111">
        <f t="shared" si="28"/>
        <v>0.84399999999999997</v>
      </c>
      <c r="X100" s="110">
        <v>7.0000000000000007E-2</v>
      </c>
      <c r="Y100" s="110">
        <v>9.5000000000000001E-2</v>
      </c>
      <c r="Z100" s="110">
        <v>6.8000000000000005E-2</v>
      </c>
      <c r="AA100" s="112">
        <v>0.19800000000000001</v>
      </c>
      <c r="AB100" s="110">
        <v>0.15600000000000003</v>
      </c>
      <c r="AC100" s="113">
        <f t="shared" si="31"/>
        <v>114390</v>
      </c>
      <c r="AD100" s="109"/>
      <c r="AE100" s="114">
        <f t="shared" si="29"/>
        <v>0</v>
      </c>
      <c r="AF100" s="112">
        <f t="shared" si="21"/>
        <v>0</v>
      </c>
      <c r="AG100" s="115">
        <f t="shared" si="30"/>
        <v>20.018249999999998</v>
      </c>
      <c r="AH100" s="114">
        <v>175</v>
      </c>
      <c r="AI100" s="114">
        <v>220.40462427745663</v>
      </c>
      <c r="AJ100" s="114">
        <v>519</v>
      </c>
      <c r="AK100" s="114">
        <v>600</v>
      </c>
      <c r="AL100" s="115">
        <f t="shared" ref="AL100:AL126" si="32">(AK100*AJ100*AI100)/10^6</f>
        <v>68.634</v>
      </c>
      <c r="AM100" s="115">
        <f t="shared" ref="AM100:AM126" si="33">AL100*U100</f>
        <v>42.827615999999999</v>
      </c>
      <c r="AN100" s="116">
        <f t="shared" ref="AN100:AN126" si="34">AI100*AK100</f>
        <v>132242.77456647399</v>
      </c>
      <c r="AO100" s="116">
        <f t="shared" ref="AO100:AO126" si="35">AH100*AI100</f>
        <v>38570.809248554913</v>
      </c>
      <c r="AP100" s="117">
        <f t="shared" si="22"/>
        <v>0.78</v>
      </c>
      <c r="AQ100" s="118">
        <f t="shared" ref="AQ100:AQ126" si="36">AL100*AP100/(AG100+AE100)</f>
        <v>2.6742857142857144</v>
      </c>
      <c r="AR100" s="119" t="s">
        <v>783</v>
      </c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</row>
    <row r="101" spans="1:123">
      <c r="A101" s="248" t="s">
        <v>501</v>
      </c>
      <c r="B101" s="19" t="s">
        <v>695</v>
      </c>
      <c r="C101" s="21" t="s">
        <v>347</v>
      </c>
      <c r="D101" s="22">
        <v>1</v>
      </c>
      <c r="E101" s="23" t="s">
        <v>739</v>
      </c>
      <c r="F101" s="17"/>
      <c r="G101" s="24">
        <v>2391</v>
      </c>
      <c r="H101" s="17"/>
      <c r="I101" s="17"/>
      <c r="J101" s="25">
        <v>317</v>
      </c>
      <c r="K101" s="176" t="s">
        <v>143</v>
      </c>
      <c r="L101" s="176" t="s">
        <v>154</v>
      </c>
      <c r="M101" s="177" t="s">
        <v>568</v>
      </c>
      <c r="N101" s="190" t="s">
        <v>590</v>
      </c>
      <c r="O101" s="176" t="s">
        <v>760</v>
      </c>
      <c r="P101" s="149">
        <v>0</v>
      </c>
      <c r="Q101" s="178" t="s">
        <v>25</v>
      </c>
      <c r="R101" s="178" t="s">
        <v>26</v>
      </c>
      <c r="S101" s="177">
        <v>2028</v>
      </c>
      <c r="T101" s="179">
        <v>47026</v>
      </c>
      <c r="U101" s="180">
        <v>0.6</v>
      </c>
      <c r="V101" s="180">
        <v>0.25</v>
      </c>
      <c r="W101" s="181">
        <f t="shared" ref="W101:W126" si="37">SUM(U101:V101)</f>
        <v>0.85</v>
      </c>
      <c r="X101" s="180">
        <v>7.0000000000000007E-2</v>
      </c>
      <c r="Y101" s="180">
        <v>7.0000000000000007E-2</v>
      </c>
      <c r="Z101" s="180">
        <v>6.8000000000000005E-2</v>
      </c>
      <c r="AA101" s="182">
        <v>0.19800000000000001</v>
      </c>
      <c r="AB101" s="180">
        <v>0.15000000000000002</v>
      </c>
      <c r="AC101" s="113">
        <f t="shared" si="31"/>
        <v>283242.12288786483</v>
      </c>
      <c r="AD101" s="179"/>
      <c r="AE101" s="183">
        <f t="shared" ref="AE101:AE126" si="38">P101/10^6</f>
        <v>0</v>
      </c>
      <c r="AF101" s="182">
        <f t="shared" si="21"/>
        <v>0</v>
      </c>
      <c r="AG101" s="184">
        <f t="shared" ref="AG101:AG126" si="39">(AH101*AI101*AJ101)/10^6</f>
        <v>49.567371505376343</v>
      </c>
      <c r="AH101" s="183">
        <v>175</v>
      </c>
      <c r="AI101" s="183">
        <v>224.97388632872503</v>
      </c>
      <c r="AJ101" s="183">
        <v>1259</v>
      </c>
      <c r="AK101" s="183">
        <v>550</v>
      </c>
      <c r="AL101" s="184">
        <f t="shared" si="32"/>
        <v>155.78316758832565</v>
      </c>
      <c r="AM101" s="184">
        <f t="shared" si="33"/>
        <v>93.469900552995384</v>
      </c>
      <c r="AN101" s="151">
        <f t="shared" si="34"/>
        <v>123735.63748079876</v>
      </c>
      <c r="AO101" s="151">
        <f t="shared" si="35"/>
        <v>39370.430107526881</v>
      </c>
      <c r="AP101" s="152">
        <f t="shared" si="22"/>
        <v>0.75</v>
      </c>
      <c r="AQ101" s="153">
        <f t="shared" si="36"/>
        <v>2.3571428571428572</v>
      </c>
      <c r="AR101" s="185" t="s">
        <v>783</v>
      </c>
    </row>
    <row r="102" spans="1:123" s="120" customFormat="1">
      <c r="A102" s="247" t="s">
        <v>502</v>
      </c>
      <c r="B102" s="103" t="s">
        <v>696</v>
      </c>
      <c r="C102" s="104" t="s">
        <v>346</v>
      </c>
      <c r="D102" s="33">
        <v>1</v>
      </c>
      <c r="E102" s="34" t="s">
        <v>740</v>
      </c>
      <c r="F102" s="35"/>
      <c r="G102" s="36">
        <v>2393</v>
      </c>
      <c r="H102" s="35"/>
      <c r="I102" s="35"/>
      <c r="J102" s="37">
        <v>320</v>
      </c>
      <c r="K102" s="105" t="s">
        <v>143</v>
      </c>
      <c r="L102" s="105" t="s">
        <v>155</v>
      </c>
      <c r="M102" s="106" t="s">
        <v>575</v>
      </c>
      <c r="N102" s="154" t="s">
        <v>854</v>
      </c>
      <c r="O102" s="105" t="s">
        <v>760</v>
      </c>
      <c r="P102" s="107">
        <v>0</v>
      </c>
      <c r="Q102" s="108" t="s">
        <v>25</v>
      </c>
      <c r="R102" s="108" t="s">
        <v>26</v>
      </c>
      <c r="S102" s="106">
        <v>2028</v>
      </c>
      <c r="T102" s="109">
        <v>47118</v>
      </c>
      <c r="U102" s="110">
        <v>0.56000000000000005</v>
      </c>
      <c r="V102" s="110">
        <v>0.29999999999999993</v>
      </c>
      <c r="W102" s="111">
        <f t="shared" si="37"/>
        <v>0.86</v>
      </c>
      <c r="X102" s="110">
        <v>7.0000000000000007E-2</v>
      </c>
      <c r="Y102" s="110">
        <v>9.5000000000000001E-2</v>
      </c>
      <c r="Z102" s="110">
        <v>6.8000000000000005E-2</v>
      </c>
      <c r="AA102" s="112">
        <v>0.19800000000000001</v>
      </c>
      <c r="AB102" s="110">
        <v>0.14000000000000001</v>
      </c>
      <c r="AC102" s="113">
        <f t="shared" si="31"/>
        <v>220000</v>
      </c>
      <c r="AD102" s="109"/>
      <c r="AE102" s="114">
        <f t="shared" si="38"/>
        <v>0</v>
      </c>
      <c r="AF102" s="112">
        <f t="shared" si="21"/>
        <v>0</v>
      </c>
      <c r="AG102" s="115">
        <f t="shared" si="39"/>
        <v>38.5</v>
      </c>
      <c r="AH102" s="114">
        <v>175</v>
      </c>
      <c r="AI102" s="114">
        <v>300.13642564802183</v>
      </c>
      <c r="AJ102" s="114">
        <v>733</v>
      </c>
      <c r="AK102" s="114">
        <v>700</v>
      </c>
      <c r="AL102" s="115">
        <f t="shared" si="32"/>
        <v>154</v>
      </c>
      <c r="AM102" s="115">
        <f t="shared" si="33"/>
        <v>86.240000000000009</v>
      </c>
      <c r="AN102" s="116">
        <f t="shared" si="34"/>
        <v>210095.49795361527</v>
      </c>
      <c r="AO102" s="116">
        <f t="shared" si="35"/>
        <v>52523.874488403817</v>
      </c>
      <c r="AP102" s="117">
        <f t="shared" si="22"/>
        <v>0.70000000000000007</v>
      </c>
      <c r="AQ102" s="118">
        <f t="shared" si="36"/>
        <v>2.8000000000000003</v>
      </c>
      <c r="AR102" s="119" t="s">
        <v>783</v>
      </c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</row>
    <row r="103" spans="1:123">
      <c r="A103" s="248" t="s">
        <v>506</v>
      </c>
      <c r="B103" s="19" t="s">
        <v>700</v>
      </c>
      <c r="C103" s="21" t="s">
        <v>26</v>
      </c>
      <c r="D103" s="22">
        <v>1</v>
      </c>
      <c r="E103" s="23" t="s">
        <v>740</v>
      </c>
      <c r="F103" s="17"/>
      <c r="G103" s="24">
        <v>2390</v>
      </c>
      <c r="H103" s="17"/>
      <c r="I103" s="17"/>
      <c r="J103" s="25">
        <v>324</v>
      </c>
      <c r="K103" s="176" t="s">
        <v>143</v>
      </c>
      <c r="L103" s="176" t="s">
        <v>158</v>
      </c>
      <c r="M103" s="177" t="s">
        <v>585</v>
      </c>
      <c r="N103" s="190" t="s">
        <v>588</v>
      </c>
      <c r="O103" s="176" t="s">
        <v>760</v>
      </c>
      <c r="P103" s="149">
        <v>0</v>
      </c>
      <c r="Q103" s="178" t="s">
        <v>25</v>
      </c>
      <c r="R103" s="178" t="s">
        <v>26</v>
      </c>
      <c r="S103" s="177">
        <v>2028</v>
      </c>
      <c r="T103" s="179">
        <v>47118</v>
      </c>
      <c r="U103" s="180">
        <v>0.59199999999999997</v>
      </c>
      <c r="V103" s="180">
        <v>0.26</v>
      </c>
      <c r="W103" s="181">
        <f t="shared" si="37"/>
        <v>0.85199999999999998</v>
      </c>
      <c r="X103" s="180">
        <v>7.0000000000000007E-2</v>
      </c>
      <c r="Y103" s="180">
        <v>9.5000000000000001E-2</v>
      </c>
      <c r="Z103" s="180">
        <v>6.8000000000000005E-2</v>
      </c>
      <c r="AA103" s="182">
        <v>0.19800000000000001</v>
      </c>
      <c r="AB103" s="180">
        <v>0.14800000000000002</v>
      </c>
      <c r="AC103" s="113">
        <f t="shared" si="31"/>
        <v>380180.09478672984</v>
      </c>
      <c r="AD103" s="179"/>
      <c r="AE103" s="183">
        <f t="shared" si="38"/>
        <v>0</v>
      </c>
      <c r="AF103" s="182">
        <f t="shared" si="21"/>
        <v>0</v>
      </c>
      <c r="AG103" s="184">
        <f t="shared" si="39"/>
        <v>66.531516587677729</v>
      </c>
      <c r="AH103" s="183">
        <v>175</v>
      </c>
      <c r="AI103" s="183">
        <v>180.09478672985782</v>
      </c>
      <c r="AJ103" s="183">
        <v>2111</v>
      </c>
      <c r="AK103" s="183">
        <v>550</v>
      </c>
      <c r="AL103" s="184">
        <f t="shared" si="32"/>
        <v>209.09905213270142</v>
      </c>
      <c r="AM103" s="184">
        <f t="shared" si="33"/>
        <v>123.78663886255923</v>
      </c>
      <c r="AN103" s="151">
        <f t="shared" si="34"/>
        <v>99052.132701421797</v>
      </c>
      <c r="AO103" s="151">
        <f t="shared" si="35"/>
        <v>31516.587677725118</v>
      </c>
      <c r="AP103" s="152">
        <f t="shared" si="22"/>
        <v>0.74</v>
      </c>
      <c r="AQ103" s="153">
        <f t="shared" si="36"/>
        <v>2.3257142857142856</v>
      </c>
      <c r="AR103" s="185" t="s">
        <v>783</v>
      </c>
    </row>
    <row r="104" spans="1:123" s="120" customFormat="1">
      <c r="A104" s="254" t="s">
        <v>553</v>
      </c>
      <c r="B104" s="103" t="s">
        <v>702</v>
      </c>
      <c r="C104" s="103"/>
      <c r="D104" s="33">
        <v>1</v>
      </c>
      <c r="E104" s="34" t="s">
        <v>740</v>
      </c>
      <c r="F104" s="35"/>
      <c r="G104" s="36">
        <v>2376</v>
      </c>
      <c r="H104" s="35"/>
      <c r="I104" s="35"/>
      <c r="J104" s="37"/>
      <c r="K104" s="105" t="s">
        <v>143</v>
      </c>
      <c r="L104" s="105" t="s">
        <v>149</v>
      </c>
      <c r="M104" s="106" t="s">
        <v>575</v>
      </c>
      <c r="N104" s="154" t="s">
        <v>820</v>
      </c>
      <c r="O104" s="105" t="s">
        <v>760</v>
      </c>
      <c r="P104" s="107">
        <v>0</v>
      </c>
      <c r="Q104" s="108" t="s">
        <v>73</v>
      </c>
      <c r="R104" s="108" t="s">
        <v>26</v>
      </c>
      <c r="S104" s="106">
        <v>2028</v>
      </c>
      <c r="T104" s="109"/>
      <c r="U104" s="110">
        <v>0.47200000000000003</v>
      </c>
      <c r="V104" s="110">
        <v>0.41</v>
      </c>
      <c r="W104" s="111">
        <f t="shared" si="37"/>
        <v>0.88200000000000001</v>
      </c>
      <c r="X104" s="110"/>
      <c r="Y104" s="110"/>
      <c r="Z104" s="110"/>
      <c r="AA104" s="112">
        <v>0.19800000000000001</v>
      </c>
      <c r="AB104" s="110">
        <v>0.11800000000000001</v>
      </c>
      <c r="AC104" s="113">
        <f t="shared" si="31"/>
        <v>45540</v>
      </c>
      <c r="AD104" s="109"/>
      <c r="AE104" s="114">
        <f t="shared" si="38"/>
        <v>0</v>
      </c>
      <c r="AF104" s="112">
        <f t="shared" si="21"/>
        <v>0</v>
      </c>
      <c r="AG104" s="115">
        <f t="shared" si="39"/>
        <v>15.939</v>
      </c>
      <c r="AH104" s="114">
        <v>350</v>
      </c>
      <c r="AI104" s="114">
        <v>330</v>
      </c>
      <c r="AJ104" s="114">
        <v>138</v>
      </c>
      <c r="AK104" s="114">
        <v>2000</v>
      </c>
      <c r="AL104" s="115">
        <f t="shared" si="32"/>
        <v>91.08</v>
      </c>
      <c r="AM104" s="115">
        <f t="shared" si="33"/>
        <v>42.989760000000004</v>
      </c>
      <c r="AN104" s="116">
        <f t="shared" si="34"/>
        <v>660000</v>
      </c>
      <c r="AO104" s="116">
        <f t="shared" si="35"/>
        <v>115500</v>
      </c>
      <c r="AP104" s="117">
        <f t="shared" si="22"/>
        <v>0.59000000000000008</v>
      </c>
      <c r="AQ104" s="118">
        <f t="shared" si="36"/>
        <v>3.3714285714285719</v>
      </c>
      <c r="AR104" s="119" t="s">
        <v>783</v>
      </c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</row>
    <row r="105" spans="1:123">
      <c r="A105" s="248" t="s">
        <v>428</v>
      </c>
      <c r="B105" s="19" t="s">
        <v>207</v>
      </c>
      <c r="C105" s="21" t="s">
        <v>328</v>
      </c>
      <c r="D105" s="22">
        <v>1</v>
      </c>
      <c r="E105" s="23" t="s">
        <v>740</v>
      </c>
      <c r="F105" s="17"/>
      <c r="G105" s="24" t="s">
        <v>753</v>
      </c>
      <c r="H105" s="17"/>
      <c r="I105" s="17"/>
      <c r="J105" s="25">
        <v>163</v>
      </c>
      <c r="K105" s="176" t="s">
        <v>53</v>
      </c>
      <c r="L105" s="176" t="s">
        <v>54</v>
      </c>
      <c r="M105" s="177" t="s">
        <v>568</v>
      </c>
      <c r="N105" s="190" t="s">
        <v>57</v>
      </c>
      <c r="O105" s="176" t="s">
        <v>760</v>
      </c>
      <c r="P105" s="149">
        <v>0</v>
      </c>
      <c r="Q105" s="178" t="s">
        <v>25</v>
      </c>
      <c r="R105" s="178" t="s">
        <v>26</v>
      </c>
      <c r="S105" s="177">
        <v>2028</v>
      </c>
      <c r="T105" s="179">
        <v>47118</v>
      </c>
      <c r="U105" s="180">
        <v>0.36959999999999998</v>
      </c>
      <c r="V105" s="180"/>
      <c r="W105" s="181">
        <f t="shared" si="37"/>
        <v>0.36959999999999998</v>
      </c>
      <c r="X105" s="180"/>
      <c r="Y105" s="180"/>
      <c r="Z105" s="180"/>
      <c r="AA105" s="182">
        <v>0.19800000000000001</v>
      </c>
      <c r="AB105" s="180">
        <v>0.63040000000000007</v>
      </c>
      <c r="AC105" s="113">
        <f t="shared" si="31"/>
        <v>252878</v>
      </c>
      <c r="AD105" s="179"/>
      <c r="AE105" s="183">
        <f t="shared" si="38"/>
        <v>0</v>
      </c>
      <c r="AF105" s="182">
        <f t="shared" si="21"/>
        <v>0</v>
      </c>
      <c r="AG105" s="184">
        <f t="shared" si="39"/>
        <v>32.368383999999999</v>
      </c>
      <c r="AH105" s="183">
        <v>128</v>
      </c>
      <c r="AI105" s="183">
        <v>275</v>
      </c>
      <c r="AJ105" s="183">
        <v>919.55636363636359</v>
      </c>
      <c r="AK105" s="183">
        <v>550</v>
      </c>
      <c r="AL105" s="184">
        <f t="shared" si="32"/>
        <v>139.0829</v>
      </c>
      <c r="AM105" s="184">
        <f t="shared" si="33"/>
        <v>51.405039839999993</v>
      </c>
      <c r="AN105" s="151">
        <f t="shared" si="34"/>
        <v>151250</v>
      </c>
      <c r="AO105" s="151">
        <f t="shared" si="35"/>
        <v>35200</v>
      </c>
      <c r="AP105" s="152">
        <f t="shared" si="22"/>
        <v>1</v>
      </c>
      <c r="AQ105" s="153">
        <f t="shared" si="36"/>
        <v>4.296875</v>
      </c>
      <c r="AR105" s="185" t="s">
        <v>783</v>
      </c>
    </row>
    <row r="106" spans="1:123" s="120" customFormat="1">
      <c r="A106" s="247" t="s">
        <v>436</v>
      </c>
      <c r="B106" s="103" t="s">
        <v>227</v>
      </c>
      <c r="C106" s="104" t="s">
        <v>394</v>
      </c>
      <c r="D106" s="33">
        <v>1</v>
      </c>
      <c r="E106" s="34" t="s">
        <v>739</v>
      </c>
      <c r="F106" s="35"/>
      <c r="G106" s="36">
        <v>2313</v>
      </c>
      <c r="H106" s="35"/>
      <c r="I106" s="35"/>
      <c r="J106" s="37">
        <v>190</v>
      </c>
      <c r="K106" s="105" t="s">
        <v>53</v>
      </c>
      <c r="L106" s="105" t="s">
        <v>78</v>
      </c>
      <c r="M106" s="106" t="s">
        <v>569</v>
      </c>
      <c r="N106" s="154" t="s">
        <v>834</v>
      </c>
      <c r="O106" s="105" t="s">
        <v>756</v>
      </c>
      <c r="P106" s="107">
        <v>6000000</v>
      </c>
      <c r="Q106" s="108" t="s">
        <v>25</v>
      </c>
      <c r="R106" s="108" t="s">
        <v>26</v>
      </c>
      <c r="S106" s="106">
        <v>2028</v>
      </c>
      <c r="T106" s="109">
        <v>46843</v>
      </c>
      <c r="U106" s="110">
        <v>0.64</v>
      </c>
      <c r="V106" s="110">
        <v>0.15999999999999992</v>
      </c>
      <c r="W106" s="111">
        <f t="shared" si="37"/>
        <v>0.79999999999999993</v>
      </c>
      <c r="X106" s="110">
        <v>0.05</v>
      </c>
      <c r="Y106" s="110">
        <v>0.08</v>
      </c>
      <c r="Z106" s="110">
        <v>6.8000000000000005E-2</v>
      </c>
      <c r="AA106" s="112">
        <v>0.19800000000000001</v>
      </c>
      <c r="AB106" s="110">
        <v>0.20000000000000007</v>
      </c>
      <c r="AC106" s="113">
        <f t="shared" si="31"/>
        <v>520000</v>
      </c>
      <c r="AD106" s="109"/>
      <c r="AE106" s="114">
        <f t="shared" si="38"/>
        <v>6</v>
      </c>
      <c r="AF106" s="112">
        <f t="shared" si="21"/>
        <v>2.3080030004039007E-2</v>
      </c>
      <c r="AG106" s="115">
        <f t="shared" si="39"/>
        <v>66.56</v>
      </c>
      <c r="AH106" s="114">
        <v>128</v>
      </c>
      <c r="AI106" s="114">
        <v>265.03567787971457</v>
      </c>
      <c r="AJ106" s="114">
        <v>1962</v>
      </c>
      <c r="AK106" s="114">
        <v>499.93269230769232</v>
      </c>
      <c r="AL106" s="115">
        <f t="shared" si="32"/>
        <v>259.96499999999997</v>
      </c>
      <c r="AM106" s="115">
        <f t="shared" si="33"/>
        <v>166.3776</v>
      </c>
      <c r="AN106" s="116">
        <f t="shared" si="34"/>
        <v>132500</v>
      </c>
      <c r="AO106" s="116">
        <f t="shared" si="35"/>
        <v>33924.566768603465</v>
      </c>
      <c r="AP106" s="117">
        <f t="shared" si="22"/>
        <v>0.84000000000000008</v>
      </c>
      <c r="AQ106" s="118">
        <f t="shared" si="36"/>
        <v>3.0095176405733186</v>
      </c>
      <c r="AR106" s="119" t="s">
        <v>783</v>
      </c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</row>
    <row r="107" spans="1:123">
      <c r="A107" s="248" t="s">
        <v>437</v>
      </c>
      <c r="B107" s="19" t="s">
        <v>230</v>
      </c>
      <c r="C107" s="21" t="s">
        <v>395</v>
      </c>
      <c r="D107" s="22">
        <v>1</v>
      </c>
      <c r="E107" s="23" t="s">
        <v>740</v>
      </c>
      <c r="F107" s="17"/>
      <c r="G107" s="24">
        <v>2311</v>
      </c>
      <c r="H107" s="17"/>
      <c r="I107" s="17"/>
      <c r="J107" s="25">
        <v>193</v>
      </c>
      <c r="K107" s="176" t="s">
        <v>53</v>
      </c>
      <c r="L107" s="176" t="s">
        <v>79</v>
      </c>
      <c r="M107" s="177" t="s">
        <v>579</v>
      </c>
      <c r="N107" s="190" t="s">
        <v>791</v>
      </c>
      <c r="O107" s="176" t="s">
        <v>760</v>
      </c>
      <c r="P107" s="149">
        <v>0</v>
      </c>
      <c r="Q107" s="178" t="s">
        <v>25</v>
      </c>
      <c r="R107" s="178" t="s">
        <v>759</v>
      </c>
      <c r="S107" s="177">
        <v>2028</v>
      </c>
      <c r="T107" s="179">
        <v>46843</v>
      </c>
      <c r="U107" s="180">
        <v>0.6</v>
      </c>
      <c r="V107" s="180">
        <v>0.30000000000000004</v>
      </c>
      <c r="W107" s="181">
        <f t="shared" si="37"/>
        <v>0.9</v>
      </c>
      <c r="X107" s="180">
        <v>0.05</v>
      </c>
      <c r="Y107" s="180">
        <v>9.5000000000000001E-2</v>
      </c>
      <c r="Z107" s="180">
        <v>6.8000000000000005E-2</v>
      </c>
      <c r="AA107" s="182">
        <v>0.19800000000000001</v>
      </c>
      <c r="AB107" s="180">
        <v>9.9999999999999978E-2</v>
      </c>
      <c r="AC107" s="113">
        <f t="shared" si="31"/>
        <v>375000</v>
      </c>
      <c r="AD107" s="179"/>
      <c r="AE107" s="183">
        <f t="shared" si="38"/>
        <v>0</v>
      </c>
      <c r="AF107" s="182">
        <f t="shared" si="21"/>
        <v>0</v>
      </c>
      <c r="AG107" s="184">
        <f t="shared" si="39"/>
        <v>48</v>
      </c>
      <c r="AH107" s="183">
        <v>128</v>
      </c>
      <c r="AI107" s="183">
        <v>250</v>
      </c>
      <c r="AJ107" s="183">
        <v>1500</v>
      </c>
      <c r="AK107" s="183">
        <v>600</v>
      </c>
      <c r="AL107" s="184">
        <f t="shared" si="32"/>
        <v>225</v>
      </c>
      <c r="AM107" s="184">
        <f t="shared" si="33"/>
        <v>135</v>
      </c>
      <c r="AN107" s="151">
        <f t="shared" si="34"/>
        <v>150000</v>
      </c>
      <c r="AO107" s="151">
        <f t="shared" si="35"/>
        <v>32000</v>
      </c>
      <c r="AP107" s="152">
        <f t="shared" si="22"/>
        <v>0.7</v>
      </c>
      <c r="AQ107" s="153">
        <f t="shared" si="36"/>
        <v>3.28125</v>
      </c>
      <c r="AR107" s="185" t="s">
        <v>783</v>
      </c>
    </row>
    <row r="108" spans="1:123" s="120" customFormat="1">
      <c r="A108" s="247" t="s">
        <v>434</v>
      </c>
      <c r="B108" s="103" t="s">
        <v>654</v>
      </c>
      <c r="C108" s="104" t="s">
        <v>331</v>
      </c>
      <c r="D108" s="33">
        <v>1</v>
      </c>
      <c r="E108" s="34" t="s">
        <v>740</v>
      </c>
      <c r="F108" s="35"/>
      <c r="G108" s="36">
        <v>2316</v>
      </c>
      <c r="H108" s="35"/>
      <c r="I108" s="35"/>
      <c r="J108" s="37">
        <v>189</v>
      </c>
      <c r="K108" s="105" t="s">
        <v>53</v>
      </c>
      <c r="L108" s="105" t="s">
        <v>76</v>
      </c>
      <c r="M108" s="106" t="s">
        <v>579</v>
      </c>
      <c r="N108" s="154" t="s">
        <v>792</v>
      </c>
      <c r="O108" s="105" t="s">
        <v>756</v>
      </c>
      <c r="P108" s="107">
        <v>4160000</v>
      </c>
      <c r="Q108" s="108" t="s">
        <v>25</v>
      </c>
      <c r="R108" s="108" t="s">
        <v>759</v>
      </c>
      <c r="S108" s="106">
        <v>2028</v>
      </c>
      <c r="T108" s="109">
        <v>47118</v>
      </c>
      <c r="U108" s="110">
        <v>0.71430000000000005</v>
      </c>
      <c r="V108" s="110"/>
      <c r="W108" s="111">
        <f t="shared" si="37"/>
        <v>0.71430000000000005</v>
      </c>
      <c r="X108" s="110"/>
      <c r="Y108" s="110"/>
      <c r="Z108" s="110"/>
      <c r="AA108" s="112">
        <v>0.19800000000000001</v>
      </c>
      <c r="AB108" s="110">
        <v>0.28569999999999995</v>
      </c>
      <c r="AC108" s="113">
        <f t="shared" si="31"/>
        <v>200196</v>
      </c>
      <c r="AD108" s="109"/>
      <c r="AE108" s="114">
        <f t="shared" si="38"/>
        <v>4.16</v>
      </c>
      <c r="AF108" s="112">
        <f t="shared" si="21"/>
        <v>5.1949089891905935E-2</v>
      </c>
      <c r="AG108" s="115">
        <f t="shared" si="39"/>
        <v>21.621168000000001</v>
      </c>
      <c r="AH108" s="114">
        <v>108</v>
      </c>
      <c r="AI108" s="114">
        <v>268</v>
      </c>
      <c r="AJ108" s="114">
        <v>747</v>
      </c>
      <c r="AK108" s="114">
        <v>400</v>
      </c>
      <c r="AL108" s="115">
        <f t="shared" si="32"/>
        <v>80.078400000000002</v>
      </c>
      <c r="AM108" s="115">
        <f t="shared" si="33"/>
        <v>57.200001120000003</v>
      </c>
      <c r="AN108" s="116">
        <f t="shared" si="34"/>
        <v>107200</v>
      </c>
      <c r="AO108" s="116">
        <f t="shared" si="35"/>
        <v>28944</v>
      </c>
      <c r="AP108" s="117">
        <f t="shared" si="22"/>
        <v>1</v>
      </c>
      <c r="AQ108" s="118">
        <f t="shared" si="36"/>
        <v>3.1060811519478091</v>
      </c>
      <c r="AR108" s="119" t="s">
        <v>783</v>
      </c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</row>
    <row r="109" spans="1:123">
      <c r="A109" s="248" t="s">
        <v>768</v>
      </c>
      <c r="B109" s="20" t="str">
        <f>N109</f>
        <v>Fazenda Paloma II</v>
      </c>
      <c r="D109" s="22">
        <v>1</v>
      </c>
      <c r="E109" s="23" t="s">
        <v>740</v>
      </c>
      <c r="K109" s="189" t="s">
        <v>22</v>
      </c>
      <c r="L109" s="188" t="s">
        <v>30</v>
      </c>
      <c r="M109" s="185" t="s">
        <v>567</v>
      </c>
      <c r="N109" s="188" t="s">
        <v>785</v>
      </c>
      <c r="O109" s="188" t="s">
        <v>756</v>
      </c>
      <c r="P109" s="149">
        <v>45000000</v>
      </c>
      <c r="Q109" s="185" t="s">
        <v>25</v>
      </c>
      <c r="R109" s="185" t="s">
        <v>26</v>
      </c>
      <c r="S109" s="185">
        <v>2028</v>
      </c>
      <c r="T109" s="179">
        <v>47087</v>
      </c>
      <c r="U109" s="180">
        <v>1</v>
      </c>
      <c r="V109" s="188"/>
      <c r="W109" s="181">
        <f t="shared" si="37"/>
        <v>1</v>
      </c>
      <c r="X109" s="188"/>
      <c r="Y109" s="188"/>
      <c r="Z109" s="188"/>
      <c r="AA109" s="182">
        <v>1</v>
      </c>
      <c r="AB109" s="180"/>
      <c r="AC109" s="113">
        <f t="shared" si="31"/>
        <v>1025800</v>
      </c>
      <c r="AD109" s="188"/>
      <c r="AE109" s="183">
        <f t="shared" si="38"/>
        <v>45</v>
      </c>
      <c r="AF109" s="182">
        <v>1</v>
      </c>
      <c r="AG109" s="184">
        <f t="shared" si="39"/>
        <v>136.4314</v>
      </c>
      <c r="AH109" s="183">
        <v>133</v>
      </c>
      <c r="AI109" s="183">
        <v>223</v>
      </c>
      <c r="AJ109" s="183">
        <v>4600</v>
      </c>
      <c r="AK109" s="183">
        <v>600</v>
      </c>
      <c r="AL109" s="184">
        <f t="shared" si="32"/>
        <v>615.48</v>
      </c>
      <c r="AM109" s="184">
        <f t="shared" si="33"/>
        <v>615.48</v>
      </c>
      <c r="AN109" s="151">
        <f t="shared" si="34"/>
        <v>133800</v>
      </c>
      <c r="AO109" s="151">
        <f t="shared" si="35"/>
        <v>29659</v>
      </c>
      <c r="AP109" s="152">
        <v>1</v>
      </c>
      <c r="AQ109" s="153">
        <f t="shared" si="36"/>
        <v>3.3923565601103229</v>
      </c>
      <c r="AR109" s="185" t="s">
        <v>783</v>
      </c>
    </row>
    <row r="110" spans="1:123" s="120" customFormat="1">
      <c r="A110" s="247" t="s">
        <v>774</v>
      </c>
      <c r="B110" s="130" t="s">
        <v>24</v>
      </c>
      <c r="D110" s="131" t="s">
        <v>705</v>
      </c>
      <c r="E110" s="134" t="s">
        <v>739</v>
      </c>
      <c r="G110" s="131">
        <v>2645</v>
      </c>
      <c r="K110" s="105" t="s">
        <v>159</v>
      </c>
      <c r="L110" s="105" t="s">
        <v>551</v>
      </c>
      <c r="M110" s="106" t="s">
        <v>577</v>
      </c>
      <c r="N110" s="154" t="s">
        <v>24</v>
      </c>
      <c r="O110" s="105" t="s">
        <v>760</v>
      </c>
      <c r="P110" s="107">
        <v>0</v>
      </c>
      <c r="Q110" s="108" t="s">
        <v>73</v>
      </c>
      <c r="R110" s="108" t="s">
        <v>26</v>
      </c>
      <c r="S110" s="106">
        <v>2028</v>
      </c>
      <c r="T110" s="109"/>
      <c r="U110" s="110">
        <v>0.8</v>
      </c>
      <c r="V110" s="110">
        <v>0.2</v>
      </c>
      <c r="W110" s="111">
        <f t="shared" si="37"/>
        <v>1</v>
      </c>
      <c r="X110" s="110"/>
      <c r="Y110" s="110"/>
      <c r="Z110" s="110"/>
      <c r="AA110" s="112">
        <v>0.19800000000000001</v>
      </c>
      <c r="AB110" s="110"/>
      <c r="AC110" s="113">
        <f t="shared" si="31"/>
        <v>952845</v>
      </c>
      <c r="AD110" s="109"/>
      <c r="AE110" s="114">
        <f t="shared" si="38"/>
        <v>0</v>
      </c>
      <c r="AF110" s="112">
        <f t="shared" ref="AF110:AF126" si="40">IF(AL110=0,0,AE110/AL110)</f>
        <v>0</v>
      </c>
      <c r="AG110" s="115">
        <f t="shared" si="39"/>
        <v>126.728385</v>
      </c>
      <c r="AH110" s="114">
        <v>133</v>
      </c>
      <c r="AI110" s="114">
        <v>600</v>
      </c>
      <c r="AJ110" s="114">
        <v>1588.075</v>
      </c>
      <c r="AK110" s="114">
        <v>1400</v>
      </c>
      <c r="AL110" s="115">
        <f t="shared" si="32"/>
        <v>1333.9829999999999</v>
      </c>
      <c r="AM110" s="115">
        <f t="shared" si="33"/>
        <v>1067.1864</v>
      </c>
      <c r="AN110" s="116">
        <f t="shared" si="34"/>
        <v>840000</v>
      </c>
      <c r="AO110" s="116">
        <f t="shared" si="35"/>
        <v>79800</v>
      </c>
      <c r="AP110" s="117">
        <f t="shared" ref="AP110:AP126" si="41">U110+AB110</f>
        <v>0.8</v>
      </c>
      <c r="AQ110" s="118">
        <f t="shared" si="36"/>
        <v>8.4210526315789469</v>
      </c>
      <c r="AR110" s="119" t="s">
        <v>783</v>
      </c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</row>
    <row r="111" spans="1:123">
      <c r="A111" s="248" t="s">
        <v>523</v>
      </c>
      <c r="B111" s="19" t="s">
        <v>312</v>
      </c>
      <c r="C111" s="21" t="s">
        <v>332</v>
      </c>
      <c r="D111" s="22">
        <v>1</v>
      </c>
      <c r="E111" s="23" t="s">
        <v>740</v>
      </c>
      <c r="F111" s="17"/>
      <c r="G111" s="24">
        <v>2770</v>
      </c>
      <c r="H111" s="17"/>
      <c r="I111" s="17"/>
      <c r="J111" s="25">
        <v>359</v>
      </c>
      <c r="K111" s="176" t="s">
        <v>548</v>
      </c>
      <c r="L111" s="176" t="s">
        <v>182</v>
      </c>
      <c r="M111" s="177" t="s">
        <v>579</v>
      </c>
      <c r="N111" s="190" t="s">
        <v>184</v>
      </c>
      <c r="O111" s="176" t="s">
        <v>760</v>
      </c>
      <c r="P111" s="149">
        <v>0</v>
      </c>
      <c r="Q111" s="178" t="s">
        <v>25</v>
      </c>
      <c r="R111" s="178" t="s">
        <v>26</v>
      </c>
      <c r="S111" s="177">
        <v>2029</v>
      </c>
      <c r="T111" s="179">
        <v>47483</v>
      </c>
      <c r="U111" s="180">
        <v>0.8</v>
      </c>
      <c r="V111" s="180"/>
      <c r="W111" s="181">
        <f t="shared" si="37"/>
        <v>0.8</v>
      </c>
      <c r="X111" s="180"/>
      <c r="Y111" s="180"/>
      <c r="Z111" s="180"/>
      <c r="AA111" s="182">
        <v>0.19800000000000001</v>
      </c>
      <c r="AB111" s="180">
        <v>0.19999999999999996</v>
      </c>
      <c r="AC111" s="113">
        <f t="shared" si="31"/>
        <v>146068.55119825708</v>
      </c>
      <c r="AD111" s="179"/>
      <c r="AE111" s="183">
        <f t="shared" si="38"/>
        <v>0</v>
      </c>
      <c r="AF111" s="182">
        <f t="shared" si="40"/>
        <v>0</v>
      </c>
      <c r="AG111" s="184">
        <f t="shared" si="39"/>
        <v>21.618145577342045</v>
      </c>
      <c r="AH111" s="183">
        <v>148</v>
      </c>
      <c r="AI111" s="183">
        <v>292.13710239651414</v>
      </c>
      <c r="AJ111" s="183">
        <v>500</v>
      </c>
      <c r="AK111" s="183">
        <v>500</v>
      </c>
      <c r="AL111" s="184">
        <f t="shared" si="32"/>
        <v>73.034275599128534</v>
      </c>
      <c r="AM111" s="184">
        <f t="shared" si="33"/>
        <v>58.427420479302832</v>
      </c>
      <c r="AN111" s="151">
        <f t="shared" si="34"/>
        <v>146068.55119825708</v>
      </c>
      <c r="AO111" s="151">
        <f t="shared" si="35"/>
        <v>43236.291154684091</v>
      </c>
      <c r="AP111" s="152">
        <f t="shared" si="41"/>
        <v>1</v>
      </c>
      <c r="AQ111" s="153">
        <f t="shared" si="36"/>
        <v>3.3783783783783785</v>
      </c>
      <c r="AR111" s="185" t="s">
        <v>783</v>
      </c>
    </row>
    <row r="112" spans="1:123" s="120" customFormat="1">
      <c r="A112" s="247" t="s">
        <v>523</v>
      </c>
      <c r="B112" s="103" t="s">
        <v>318</v>
      </c>
      <c r="C112" s="104" t="s">
        <v>332</v>
      </c>
      <c r="D112" s="33">
        <v>1</v>
      </c>
      <c r="E112" s="34" t="s">
        <v>740</v>
      </c>
      <c r="F112" s="35"/>
      <c r="G112" s="36">
        <v>2770</v>
      </c>
      <c r="H112" s="35"/>
      <c r="I112" s="35"/>
      <c r="J112" s="37">
        <v>365</v>
      </c>
      <c r="K112" s="105" t="s">
        <v>548</v>
      </c>
      <c r="L112" s="105" t="s">
        <v>182</v>
      </c>
      <c r="M112" s="106" t="s">
        <v>579</v>
      </c>
      <c r="N112" s="154" t="s">
        <v>190</v>
      </c>
      <c r="O112" s="105" t="s">
        <v>760</v>
      </c>
      <c r="P112" s="107">
        <v>0</v>
      </c>
      <c r="Q112" s="108" t="s">
        <v>25</v>
      </c>
      <c r="R112" s="108" t="s">
        <v>26</v>
      </c>
      <c r="S112" s="106">
        <v>2029</v>
      </c>
      <c r="T112" s="109">
        <v>47483</v>
      </c>
      <c r="U112" s="110">
        <v>0.8</v>
      </c>
      <c r="V112" s="110"/>
      <c r="W112" s="111">
        <f t="shared" si="37"/>
        <v>0.8</v>
      </c>
      <c r="X112" s="110"/>
      <c r="Y112" s="110"/>
      <c r="Z112" s="110"/>
      <c r="AA112" s="112">
        <v>0.19800000000000001</v>
      </c>
      <c r="AB112" s="110">
        <v>0.19999999999999996</v>
      </c>
      <c r="AC112" s="113">
        <f t="shared" si="31"/>
        <v>131628.81443298969</v>
      </c>
      <c r="AD112" s="109"/>
      <c r="AE112" s="114">
        <f t="shared" si="38"/>
        <v>0</v>
      </c>
      <c r="AF112" s="112">
        <f t="shared" si="40"/>
        <v>0</v>
      </c>
      <c r="AG112" s="115">
        <f t="shared" si="39"/>
        <v>19.481064536082478</v>
      </c>
      <c r="AH112" s="114">
        <v>148</v>
      </c>
      <c r="AI112" s="114">
        <v>263.25762886597937</v>
      </c>
      <c r="AJ112" s="114">
        <v>500</v>
      </c>
      <c r="AK112" s="114">
        <v>500</v>
      </c>
      <c r="AL112" s="115">
        <f t="shared" si="32"/>
        <v>65.814407216494843</v>
      </c>
      <c r="AM112" s="115">
        <f t="shared" si="33"/>
        <v>52.651525773195878</v>
      </c>
      <c r="AN112" s="116">
        <f t="shared" si="34"/>
        <v>131628.81443298969</v>
      </c>
      <c r="AO112" s="116">
        <f t="shared" si="35"/>
        <v>38962.129072164949</v>
      </c>
      <c r="AP112" s="117">
        <f t="shared" si="41"/>
        <v>1</v>
      </c>
      <c r="AQ112" s="118">
        <f t="shared" si="36"/>
        <v>3.3783783783783776</v>
      </c>
      <c r="AR112" s="119" t="s">
        <v>783</v>
      </c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</row>
    <row r="113" spans="1:123">
      <c r="A113" s="248" t="s">
        <v>448</v>
      </c>
      <c r="B113" s="19" t="s">
        <v>245</v>
      </c>
      <c r="C113" s="21" t="s">
        <v>389</v>
      </c>
      <c r="D113" s="22">
        <v>1</v>
      </c>
      <c r="E113" s="23" t="s">
        <v>740</v>
      </c>
      <c r="F113" s="17" t="s">
        <v>541</v>
      </c>
      <c r="G113" s="24">
        <v>2052</v>
      </c>
      <c r="H113" s="17"/>
      <c r="I113" s="17"/>
      <c r="J113" s="25">
        <v>211</v>
      </c>
      <c r="K113" s="176" t="s">
        <v>93</v>
      </c>
      <c r="L113" s="176" t="s">
        <v>101</v>
      </c>
      <c r="M113" s="177" t="s">
        <v>580</v>
      </c>
      <c r="N113" s="190" t="s">
        <v>45</v>
      </c>
      <c r="O113" s="176" t="s">
        <v>760</v>
      </c>
      <c r="P113" s="149">
        <v>0</v>
      </c>
      <c r="Q113" s="178" t="s">
        <v>25</v>
      </c>
      <c r="R113" s="178" t="s">
        <v>26</v>
      </c>
      <c r="S113" s="177">
        <v>2029</v>
      </c>
      <c r="T113" s="179">
        <v>47391</v>
      </c>
      <c r="U113" s="180">
        <v>0.8</v>
      </c>
      <c r="V113" s="180">
        <v>0.19999999999999996</v>
      </c>
      <c r="W113" s="181">
        <f t="shared" si="37"/>
        <v>1</v>
      </c>
      <c r="X113" s="180">
        <v>0.05</v>
      </c>
      <c r="Y113" s="180">
        <v>0</v>
      </c>
      <c r="Z113" s="180">
        <v>6.8000000000000005E-2</v>
      </c>
      <c r="AA113" s="182">
        <v>0.19800000000000001</v>
      </c>
      <c r="AB113" s="180"/>
      <c r="AC113" s="113">
        <f t="shared" si="31"/>
        <v>271890</v>
      </c>
      <c r="AD113" s="179"/>
      <c r="AE113" s="183">
        <f t="shared" si="38"/>
        <v>0</v>
      </c>
      <c r="AF113" s="182">
        <f t="shared" si="40"/>
        <v>0</v>
      </c>
      <c r="AG113" s="184">
        <f t="shared" si="39"/>
        <v>32.626800000000003</v>
      </c>
      <c r="AH113" s="183">
        <v>120</v>
      </c>
      <c r="AI113" s="183">
        <v>265</v>
      </c>
      <c r="AJ113" s="183">
        <v>1026</v>
      </c>
      <c r="AK113" s="183">
        <v>500</v>
      </c>
      <c r="AL113" s="184">
        <f t="shared" si="32"/>
        <v>135.94499999999999</v>
      </c>
      <c r="AM113" s="184">
        <f t="shared" si="33"/>
        <v>108.756</v>
      </c>
      <c r="AN113" s="151">
        <f t="shared" si="34"/>
        <v>132500</v>
      </c>
      <c r="AO113" s="151">
        <f t="shared" si="35"/>
        <v>31800</v>
      </c>
      <c r="AP113" s="152">
        <f t="shared" si="41"/>
        <v>0.8</v>
      </c>
      <c r="AQ113" s="153">
        <f t="shared" si="36"/>
        <v>3.333333333333333</v>
      </c>
      <c r="AR113" s="185" t="s">
        <v>783</v>
      </c>
    </row>
    <row r="114" spans="1:123" s="120" customFormat="1">
      <c r="A114" s="247" t="s">
        <v>420</v>
      </c>
      <c r="B114" s="103" t="s">
        <v>195</v>
      </c>
      <c r="C114" s="104" t="s">
        <v>320</v>
      </c>
      <c r="D114" s="33">
        <v>1</v>
      </c>
      <c r="E114" s="34" t="s">
        <v>740</v>
      </c>
      <c r="F114" s="35"/>
      <c r="G114" s="36">
        <v>2121</v>
      </c>
      <c r="H114" s="35"/>
      <c r="I114" s="35"/>
      <c r="J114" s="37">
        <v>151</v>
      </c>
      <c r="K114" s="105" t="s">
        <v>22</v>
      </c>
      <c r="L114" s="105" t="s">
        <v>39</v>
      </c>
      <c r="M114" s="106" t="s">
        <v>567</v>
      </c>
      <c r="N114" s="154" t="s">
        <v>41</v>
      </c>
      <c r="O114" s="105" t="s">
        <v>761</v>
      </c>
      <c r="P114" s="122">
        <v>4800000</v>
      </c>
      <c r="Q114" s="108" t="s">
        <v>25</v>
      </c>
      <c r="R114" s="108" t="s">
        <v>759</v>
      </c>
      <c r="S114" s="106">
        <v>2029</v>
      </c>
      <c r="T114" s="109">
        <v>47483</v>
      </c>
      <c r="U114" s="110">
        <v>1</v>
      </c>
      <c r="V114" s="110"/>
      <c r="W114" s="111">
        <f t="shared" si="37"/>
        <v>1</v>
      </c>
      <c r="X114" s="110"/>
      <c r="Y114" s="110"/>
      <c r="Z114" s="110"/>
      <c r="AA114" s="112">
        <v>0.19800000000000001</v>
      </c>
      <c r="AB114" s="110"/>
      <c r="AC114" s="113">
        <f t="shared" si="31"/>
        <v>319811.90999999997</v>
      </c>
      <c r="AD114" s="109"/>
      <c r="AE114" s="114">
        <f t="shared" si="38"/>
        <v>4.8</v>
      </c>
      <c r="AF114" s="112">
        <f t="shared" si="40"/>
        <v>3.0017643808199636E-2</v>
      </c>
      <c r="AG114" s="115">
        <f t="shared" si="39"/>
        <v>42.566965220999997</v>
      </c>
      <c r="AH114" s="114">
        <v>133.1</v>
      </c>
      <c r="AI114" s="114">
        <v>366.33666666666664</v>
      </c>
      <c r="AJ114" s="114">
        <v>873</v>
      </c>
      <c r="AK114" s="114">
        <v>500</v>
      </c>
      <c r="AL114" s="115">
        <f t="shared" si="32"/>
        <v>159.90595500000001</v>
      </c>
      <c r="AM114" s="115">
        <f t="shared" si="33"/>
        <v>159.90595500000001</v>
      </c>
      <c r="AN114" s="116">
        <f t="shared" si="34"/>
        <v>183168.33333333331</v>
      </c>
      <c r="AO114" s="116">
        <f t="shared" si="35"/>
        <v>48759.410333333326</v>
      </c>
      <c r="AP114" s="117">
        <f t="shared" si="41"/>
        <v>1</v>
      </c>
      <c r="AQ114" s="118">
        <f t="shared" si="36"/>
        <v>3.3758961388792161</v>
      </c>
      <c r="AR114" s="119" t="s">
        <v>783</v>
      </c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</row>
    <row r="115" spans="1:123">
      <c r="A115" s="248" t="s">
        <v>765</v>
      </c>
      <c r="B115" s="190" t="s">
        <v>136</v>
      </c>
      <c r="D115" s="18" t="s">
        <v>705</v>
      </c>
      <c r="E115" s="16" t="s">
        <v>740</v>
      </c>
      <c r="K115" s="176" t="s">
        <v>103</v>
      </c>
      <c r="L115" s="176" t="s">
        <v>134</v>
      </c>
      <c r="M115" s="177" t="s">
        <v>583</v>
      </c>
      <c r="N115" s="190" t="s">
        <v>136</v>
      </c>
      <c r="O115" s="176" t="s">
        <v>760</v>
      </c>
      <c r="P115" s="149">
        <v>0</v>
      </c>
      <c r="Q115" s="178" t="s">
        <v>25</v>
      </c>
      <c r="R115" s="178" t="s">
        <v>759</v>
      </c>
      <c r="S115" s="177">
        <v>2029</v>
      </c>
      <c r="T115" s="179">
        <v>47391</v>
      </c>
      <c r="U115" s="180">
        <v>0.64170000000000005</v>
      </c>
      <c r="V115" s="180">
        <v>0.30000000000000004</v>
      </c>
      <c r="W115" s="181">
        <f t="shared" si="37"/>
        <v>0.94170000000000009</v>
      </c>
      <c r="X115" s="180">
        <v>0.05</v>
      </c>
      <c r="Y115" s="180">
        <v>9.0000000000000011E-2</v>
      </c>
      <c r="Z115" s="180">
        <v>6.8000000000000005E-2</v>
      </c>
      <c r="AA115" s="182">
        <v>0.19800000000000001</v>
      </c>
      <c r="AB115" s="180">
        <v>5.8299999999999907E-2</v>
      </c>
      <c r="AC115" s="113">
        <f t="shared" si="31"/>
        <v>255556.08000000002</v>
      </c>
      <c r="AD115" s="179"/>
      <c r="AE115" s="183">
        <f t="shared" si="38"/>
        <v>0</v>
      </c>
      <c r="AF115" s="182">
        <f t="shared" si="40"/>
        <v>0</v>
      </c>
      <c r="AG115" s="184">
        <f t="shared" si="39"/>
        <v>41.655641039999999</v>
      </c>
      <c r="AH115" s="183">
        <v>163</v>
      </c>
      <c r="AI115" s="183">
        <v>258.66000000000003</v>
      </c>
      <c r="AJ115" s="183">
        <v>988</v>
      </c>
      <c r="AK115" s="183">
        <v>600</v>
      </c>
      <c r="AL115" s="184">
        <f t="shared" si="32"/>
        <v>153.33364800000001</v>
      </c>
      <c r="AM115" s="184">
        <f t="shared" si="33"/>
        <v>98.394201921600015</v>
      </c>
      <c r="AN115" s="151">
        <f t="shared" si="34"/>
        <v>155196.00000000003</v>
      </c>
      <c r="AO115" s="151">
        <f t="shared" si="35"/>
        <v>42161.58</v>
      </c>
      <c r="AP115" s="152">
        <f t="shared" si="41"/>
        <v>0.7</v>
      </c>
      <c r="AQ115" s="153">
        <f t="shared" si="36"/>
        <v>2.5766871165644174</v>
      </c>
      <c r="AR115" s="185" t="s">
        <v>783</v>
      </c>
    </row>
    <row r="116" spans="1:123" s="120" customFormat="1">
      <c r="A116" s="247" t="s">
        <v>452</v>
      </c>
      <c r="B116" s="154" t="s">
        <v>109</v>
      </c>
      <c r="D116" s="131" t="s">
        <v>705</v>
      </c>
      <c r="E116" s="134" t="s">
        <v>740</v>
      </c>
      <c r="G116" s="131"/>
      <c r="K116" s="105" t="s">
        <v>103</v>
      </c>
      <c r="L116" s="105" t="s">
        <v>107</v>
      </c>
      <c r="M116" s="106" t="s">
        <v>573</v>
      </c>
      <c r="N116" s="154" t="s">
        <v>109</v>
      </c>
      <c r="O116" s="105" t="s">
        <v>760</v>
      </c>
      <c r="P116" s="107">
        <v>0</v>
      </c>
      <c r="Q116" s="108" t="s">
        <v>25</v>
      </c>
      <c r="R116" s="108" t="s">
        <v>26</v>
      </c>
      <c r="S116" s="106">
        <v>2029</v>
      </c>
      <c r="T116" s="109">
        <v>47299</v>
      </c>
      <c r="U116" s="110">
        <v>0.50418499999999999</v>
      </c>
      <c r="V116" s="110">
        <v>0.44999999999999996</v>
      </c>
      <c r="W116" s="111">
        <f t="shared" si="37"/>
        <v>0.95418499999999995</v>
      </c>
      <c r="X116" s="110">
        <v>0.05</v>
      </c>
      <c r="Y116" s="110">
        <v>9.0000000000000011E-2</v>
      </c>
      <c r="Z116" s="110">
        <v>6.8000000000000005E-2</v>
      </c>
      <c r="AA116" s="112">
        <v>0.19800000000000001</v>
      </c>
      <c r="AB116" s="110">
        <v>4.581500000000005E-2</v>
      </c>
      <c r="AC116" s="113">
        <f t="shared" si="31"/>
        <v>411540</v>
      </c>
      <c r="AD116" s="109"/>
      <c r="AE116" s="114">
        <f t="shared" si="38"/>
        <v>0</v>
      </c>
      <c r="AF116" s="112">
        <f t="shared" si="40"/>
        <v>0</v>
      </c>
      <c r="AG116" s="115">
        <f t="shared" si="39"/>
        <v>69.961799999999997</v>
      </c>
      <c r="AH116" s="114">
        <v>170</v>
      </c>
      <c r="AI116" s="114">
        <v>361</v>
      </c>
      <c r="AJ116" s="114">
        <v>1140</v>
      </c>
      <c r="AK116" s="114">
        <v>650</v>
      </c>
      <c r="AL116" s="115">
        <f t="shared" si="32"/>
        <v>267.50099999999998</v>
      </c>
      <c r="AM116" s="115">
        <f t="shared" si="33"/>
        <v>134.86999168499997</v>
      </c>
      <c r="AN116" s="116">
        <f t="shared" si="34"/>
        <v>234650</v>
      </c>
      <c r="AO116" s="116">
        <f t="shared" si="35"/>
        <v>61370</v>
      </c>
      <c r="AP116" s="117">
        <f t="shared" si="41"/>
        <v>0.55000000000000004</v>
      </c>
      <c r="AQ116" s="118">
        <f t="shared" si="36"/>
        <v>2.1029411764705883</v>
      </c>
      <c r="AR116" s="119" t="s">
        <v>783</v>
      </c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</row>
    <row r="117" spans="1:123" ht="13">
      <c r="A117" s="251" t="s">
        <v>454</v>
      </c>
      <c r="B117" s="190" t="s">
        <v>46</v>
      </c>
      <c r="D117" s="18" t="s">
        <v>705</v>
      </c>
      <c r="E117" s="16" t="s">
        <v>740</v>
      </c>
      <c r="K117" s="176" t="s">
        <v>103</v>
      </c>
      <c r="L117" s="176" t="s">
        <v>112</v>
      </c>
      <c r="M117" s="177" t="s">
        <v>574</v>
      </c>
      <c r="N117" s="190" t="s">
        <v>46</v>
      </c>
      <c r="O117" s="176" t="s">
        <v>757</v>
      </c>
      <c r="P117" s="149">
        <v>166666.66</v>
      </c>
      <c r="Q117" s="178" t="s">
        <v>25</v>
      </c>
      <c r="R117" s="178" t="s">
        <v>759</v>
      </c>
      <c r="S117" s="177">
        <v>2030</v>
      </c>
      <c r="T117" s="179">
        <v>47572</v>
      </c>
      <c r="U117" s="180">
        <v>0.64168999999999998</v>
      </c>
      <c r="V117" s="180">
        <v>0.30000000000000004</v>
      </c>
      <c r="W117" s="181">
        <f t="shared" si="37"/>
        <v>0.94169000000000003</v>
      </c>
      <c r="X117" s="180">
        <v>0.05</v>
      </c>
      <c r="Y117" s="180">
        <v>9.0000000000000011E-2</v>
      </c>
      <c r="Z117" s="180">
        <v>6.8000000000000005E-2</v>
      </c>
      <c r="AA117" s="182">
        <v>0.19800000000000001</v>
      </c>
      <c r="AB117" s="180">
        <v>5.8309999999999973E-2</v>
      </c>
      <c r="AC117" s="113">
        <f t="shared" si="31"/>
        <v>262200</v>
      </c>
      <c r="AD117" s="179"/>
      <c r="AE117" s="183">
        <f t="shared" si="38"/>
        <v>0.16666665999999999</v>
      </c>
      <c r="AF117" s="182">
        <f t="shared" si="40"/>
        <v>7.9455882913806257E-4</v>
      </c>
      <c r="AG117" s="184">
        <f t="shared" si="39"/>
        <v>42.738599999999998</v>
      </c>
      <c r="AH117" s="183">
        <v>163</v>
      </c>
      <c r="AI117" s="183">
        <v>230</v>
      </c>
      <c r="AJ117" s="183">
        <v>1140</v>
      </c>
      <c r="AK117" s="183">
        <v>800</v>
      </c>
      <c r="AL117" s="184">
        <f t="shared" si="32"/>
        <v>209.76</v>
      </c>
      <c r="AM117" s="184">
        <f t="shared" si="33"/>
        <v>134.60089439999999</v>
      </c>
      <c r="AN117" s="151">
        <f t="shared" si="34"/>
        <v>184000</v>
      </c>
      <c r="AO117" s="151">
        <f t="shared" si="35"/>
        <v>37490</v>
      </c>
      <c r="AP117" s="152">
        <f t="shared" si="41"/>
        <v>0.7</v>
      </c>
      <c r="AQ117" s="153">
        <f t="shared" si="36"/>
        <v>3.4222372083958983</v>
      </c>
      <c r="AR117" s="185" t="s">
        <v>783</v>
      </c>
    </row>
    <row r="118" spans="1:123" s="120" customFormat="1">
      <c r="A118" s="247" t="s">
        <v>458</v>
      </c>
      <c r="B118" s="154" t="s">
        <v>24</v>
      </c>
      <c r="D118" s="131" t="s">
        <v>705</v>
      </c>
      <c r="E118" s="134" t="s">
        <v>740</v>
      </c>
      <c r="G118" s="131"/>
      <c r="K118" s="105" t="s">
        <v>103</v>
      </c>
      <c r="L118" s="105" t="s">
        <v>115</v>
      </c>
      <c r="M118" s="106" t="s">
        <v>574</v>
      </c>
      <c r="N118" s="154" t="s">
        <v>24</v>
      </c>
      <c r="O118" s="105" t="s">
        <v>756</v>
      </c>
      <c r="P118" s="195">
        <v>9006000</v>
      </c>
      <c r="Q118" s="108" t="s">
        <v>25</v>
      </c>
      <c r="R118" s="108" t="s">
        <v>26</v>
      </c>
      <c r="S118" s="106">
        <v>2029</v>
      </c>
      <c r="T118" s="109">
        <v>47391</v>
      </c>
      <c r="U118" s="110">
        <v>0.57336200000000004</v>
      </c>
      <c r="V118" s="110">
        <v>0.1399999999999999</v>
      </c>
      <c r="W118" s="111">
        <f t="shared" si="37"/>
        <v>0.71336199999999994</v>
      </c>
      <c r="X118" s="110">
        <v>0.05</v>
      </c>
      <c r="Y118" s="110">
        <v>0</v>
      </c>
      <c r="Z118" s="110">
        <v>6.8000000000000005E-2</v>
      </c>
      <c r="AA118" s="112">
        <v>0.19800000000000001</v>
      </c>
      <c r="AB118" s="110">
        <v>0.28663800000000006</v>
      </c>
      <c r="AC118" s="113">
        <f t="shared" si="31"/>
        <v>95498.670212765952</v>
      </c>
      <c r="AD118" s="109"/>
      <c r="AE118" s="114">
        <f t="shared" si="38"/>
        <v>9.0060000000000002</v>
      </c>
      <c r="AF118" s="112">
        <f t="shared" si="40"/>
        <v>0.14508458164407481</v>
      </c>
      <c r="AG118" s="115">
        <f t="shared" si="39"/>
        <v>28.649601063829785</v>
      </c>
      <c r="AH118" s="114">
        <v>300</v>
      </c>
      <c r="AI118" s="114">
        <v>180.18617021276594</v>
      </c>
      <c r="AJ118" s="114">
        <v>530</v>
      </c>
      <c r="AK118" s="114">
        <v>650</v>
      </c>
      <c r="AL118" s="115">
        <f t="shared" si="32"/>
        <v>62.074135638297868</v>
      </c>
      <c r="AM118" s="115">
        <f t="shared" si="33"/>
        <v>35.590950557845744</v>
      </c>
      <c r="AN118" s="116">
        <f t="shared" si="34"/>
        <v>117121.01063829787</v>
      </c>
      <c r="AO118" s="116">
        <f t="shared" si="35"/>
        <v>54055.851063829781</v>
      </c>
      <c r="AP118" s="117">
        <f t="shared" si="41"/>
        <v>0.8600000000000001</v>
      </c>
      <c r="AQ118" s="118">
        <f t="shared" si="36"/>
        <v>1.4176843587875727</v>
      </c>
      <c r="AR118" s="119" t="s">
        <v>783</v>
      </c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</row>
    <row r="119" spans="1:123">
      <c r="A119" s="248" t="s">
        <v>463</v>
      </c>
      <c r="B119" s="19" t="s">
        <v>630</v>
      </c>
      <c r="C119" s="21" t="s">
        <v>377</v>
      </c>
      <c r="D119" s="22">
        <v>1</v>
      </c>
      <c r="E119" s="23" t="s">
        <v>740</v>
      </c>
      <c r="G119" s="24">
        <v>2277</v>
      </c>
      <c r="J119" s="25">
        <v>243</v>
      </c>
      <c r="K119" s="176" t="s">
        <v>103</v>
      </c>
      <c r="L119" s="176" t="s">
        <v>584</v>
      </c>
      <c r="M119" s="177" t="s">
        <v>583</v>
      </c>
      <c r="N119" s="190" t="s">
        <v>45</v>
      </c>
      <c r="O119" s="176" t="s">
        <v>760</v>
      </c>
      <c r="P119" s="149">
        <v>0</v>
      </c>
      <c r="Q119" s="178" t="s">
        <v>25</v>
      </c>
      <c r="R119" s="178" t="s">
        <v>759</v>
      </c>
      <c r="S119" s="177">
        <v>2029</v>
      </c>
      <c r="T119" s="179">
        <v>47482</v>
      </c>
      <c r="U119" s="180">
        <v>0.55000000000000004</v>
      </c>
      <c r="V119" s="180">
        <v>0.40001999999999993</v>
      </c>
      <c r="W119" s="181">
        <f t="shared" si="37"/>
        <v>0.95001999999999998</v>
      </c>
      <c r="X119" s="180">
        <v>0.05</v>
      </c>
      <c r="Y119" s="180">
        <v>9.0000000000000011E-2</v>
      </c>
      <c r="Z119" s="180">
        <v>6.8000000000000005E-2</v>
      </c>
      <c r="AA119" s="182">
        <v>0.19800000000000001</v>
      </c>
      <c r="AB119" s="180">
        <v>4.9980000000000024E-2</v>
      </c>
      <c r="AC119" s="113">
        <f t="shared" si="31"/>
        <v>269151</v>
      </c>
      <c r="AD119" s="179"/>
      <c r="AE119" s="183">
        <f t="shared" si="38"/>
        <v>0</v>
      </c>
      <c r="AF119" s="182">
        <f t="shared" si="40"/>
        <v>0</v>
      </c>
      <c r="AG119" s="184">
        <f t="shared" si="39"/>
        <v>43.871613000000004</v>
      </c>
      <c r="AH119" s="183">
        <v>163</v>
      </c>
      <c r="AI119" s="183">
        <v>219</v>
      </c>
      <c r="AJ119" s="183">
        <v>1229</v>
      </c>
      <c r="AK119" s="183">
        <v>550</v>
      </c>
      <c r="AL119" s="184">
        <f t="shared" si="32"/>
        <v>148.03305</v>
      </c>
      <c r="AM119" s="184">
        <f t="shared" si="33"/>
        <v>81.418177500000013</v>
      </c>
      <c r="AN119" s="151">
        <f t="shared" si="34"/>
        <v>120450</v>
      </c>
      <c r="AO119" s="151">
        <f t="shared" si="35"/>
        <v>35697</v>
      </c>
      <c r="AP119" s="152">
        <f t="shared" si="41"/>
        <v>0.59998000000000007</v>
      </c>
      <c r="AQ119" s="153">
        <f t="shared" si="36"/>
        <v>2.024472392638037</v>
      </c>
      <c r="AR119" s="185" t="s">
        <v>783</v>
      </c>
    </row>
    <row r="120" spans="1:123" s="120" customFormat="1">
      <c r="A120" s="247" t="s">
        <v>464</v>
      </c>
      <c r="B120" s="103" t="s">
        <v>631</v>
      </c>
      <c r="C120" s="104" t="s">
        <v>377</v>
      </c>
      <c r="D120" s="33">
        <v>1</v>
      </c>
      <c r="E120" s="34" t="s">
        <v>740</v>
      </c>
      <c r="G120" s="36">
        <v>2277</v>
      </c>
      <c r="J120" s="37">
        <v>244</v>
      </c>
      <c r="K120" s="105" t="s">
        <v>103</v>
      </c>
      <c r="L120" s="105" t="s">
        <v>584</v>
      </c>
      <c r="M120" s="106" t="s">
        <v>583</v>
      </c>
      <c r="N120" s="154" t="s">
        <v>46</v>
      </c>
      <c r="O120" s="105" t="s">
        <v>760</v>
      </c>
      <c r="P120" s="107">
        <v>0</v>
      </c>
      <c r="Q120" s="108" t="s">
        <v>25</v>
      </c>
      <c r="R120" s="108" t="s">
        <v>759</v>
      </c>
      <c r="S120" s="106">
        <v>2033</v>
      </c>
      <c r="T120" s="109">
        <v>48943</v>
      </c>
      <c r="U120" s="110">
        <v>0.55000000000000004</v>
      </c>
      <c r="V120" s="110">
        <v>0.40001999999999993</v>
      </c>
      <c r="W120" s="111">
        <f t="shared" si="37"/>
        <v>0.95001999999999998</v>
      </c>
      <c r="X120" s="110">
        <v>0.05</v>
      </c>
      <c r="Y120" s="110">
        <v>9.0000000000000011E-2</v>
      </c>
      <c r="Z120" s="110">
        <v>6.8000000000000005E-2</v>
      </c>
      <c r="AA120" s="112">
        <v>0.19800000000000001</v>
      </c>
      <c r="AB120" s="110">
        <v>4.9980000000000024E-2</v>
      </c>
      <c r="AC120" s="113">
        <f t="shared" si="31"/>
        <v>328500</v>
      </c>
      <c r="AD120" s="109"/>
      <c r="AE120" s="114">
        <f t="shared" si="38"/>
        <v>0</v>
      </c>
      <c r="AF120" s="112">
        <f t="shared" si="40"/>
        <v>0</v>
      </c>
      <c r="AG120" s="115">
        <f t="shared" si="39"/>
        <v>53.545499999999997</v>
      </c>
      <c r="AH120" s="114">
        <v>163</v>
      </c>
      <c r="AI120" s="114">
        <v>219</v>
      </c>
      <c r="AJ120" s="114">
        <v>1500</v>
      </c>
      <c r="AK120" s="114">
        <v>550</v>
      </c>
      <c r="AL120" s="115">
        <f t="shared" si="32"/>
        <v>180.67500000000001</v>
      </c>
      <c r="AM120" s="115">
        <f t="shared" si="33"/>
        <v>99.371250000000018</v>
      </c>
      <c r="AN120" s="116">
        <f t="shared" si="34"/>
        <v>120450</v>
      </c>
      <c r="AO120" s="116">
        <f t="shared" si="35"/>
        <v>35697</v>
      </c>
      <c r="AP120" s="117">
        <f t="shared" si="41"/>
        <v>0.59998000000000007</v>
      </c>
      <c r="AQ120" s="118">
        <f t="shared" si="36"/>
        <v>2.024472392638037</v>
      </c>
      <c r="AR120" s="119" t="s">
        <v>783</v>
      </c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</row>
    <row r="121" spans="1:123">
      <c r="A121" s="248" t="s">
        <v>464</v>
      </c>
      <c r="B121" s="19" t="s">
        <v>634</v>
      </c>
      <c r="C121" s="21" t="s">
        <v>377</v>
      </c>
      <c r="D121" s="22">
        <v>1</v>
      </c>
      <c r="E121" s="23" t="s">
        <v>740</v>
      </c>
      <c r="G121" s="24">
        <v>2277</v>
      </c>
      <c r="J121" s="25">
        <v>245</v>
      </c>
      <c r="K121" s="176" t="s">
        <v>103</v>
      </c>
      <c r="L121" s="176" t="s">
        <v>584</v>
      </c>
      <c r="M121" s="177" t="s">
        <v>583</v>
      </c>
      <c r="N121" s="190" t="s">
        <v>47</v>
      </c>
      <c r="O121" s="176" t="s">
        <v>760</v>
      </c>
      <c r="P121" s="149">
        <v>0</v>
      </c>
      <c r="Q121" s="178" t="s">
        <v>25</v>
      </c>
      <c r="R121" s="178" t="s">
        <v>759</v>
      </c>
      <c r="S121" s="177">
        <v>2035</v>
      </c>
      <c r="T121" s="179">
        <v>49673</v>
      </c>
      <c r="U121" s="180">
        <v>0.55000000000000004</v>
      </c>
      <c r="V121" s="180">
        <v>0.40001999999999993</v>
      </c>
      <c r="W121" s="181">
        <f t="shared" si="37"/>
        <v>0.95001999999999998</v>
      </c>
      <c r="X121" s="180">
        <v>0.05</v>
      </c>
      <c r="Y121" s="180">
        <v>9.0000000000000011E-2</v>
      </c>
      <c r="Z121" s="180">
        <v>6.8000000000000005E-2</v>
      </c>
      <c r="AA121" s="182">
        <v>0.19800000000000001</v>
      </c>
      <c r="AB121" s="180">
        <v>4.9980000000000024E-2</v>
      </c>
      <c r="AC121" s="113">
        <f t="shared" si="31"/>
        <v>328500</v>
      </c>
      <c r="AD121" s="179"/>
      <c r="AE121" s="183">
        <f t="shared" si="38"/>
        <v>0</v>
      </c>
      <c r="AF121" s="182">
        <f t="shared" si="40"/>
        <v>0</v>
      </c>
      <c r="AG121" s="184">
        <f t="shared" si="39"/>
        <v>53.545499999999997</v>
      </c>
      <c r="AH121" s="183">
        <v>163</v>
      </c>
      <c r="AI121" s="183">
        <v>219</v>
      </c>
      <c r="AJ121" s="183">
        <v>1500</v>
      </c>
      <c r="AK121" s="183">
        <v>550</v>
      </c>
      <c r="AL121" s="184">
        <f t="shared" si="32"/>
        <v>180.67500000000001</v>
      </c>
      <c r="AM121" s="184">
        <f t="shared" si="33"/>
        <v>99.371250000000018</v>
      </c>
      <c r="AN121" s="151">
        <f t="shared" si="34"/>
        <v>120450</v>
      </c>
      <c r="AO121" s="151">
        <f t="shared" si="35"/>
        <v>35697</v>
      </c>
      <c r="AP121" s="152">
        <f t="shared" si="41"/>
        <v>0.59998000000000007</v>
      </c>
      <c r="AQ121" s="153">
        <f t="shared" si="36"/>
        <v>2.024472392638037</v>
      </c>
      <c r="AR121" s="185" t="s">
        <v>783</v>
      </c>
    </row>
    <row r="122" spans="1:123" s="120" customFormat="1">
      <c r="A122" s="247" t="s">
        <v>464</v>
      </c>
      <c r="B122" s="103" t="s">
        <v>635</v>
      </c>
      <c r="C122" s="104" t="s">
        <v>377</v>
      </c>
      <c r="D122" s="33">
        <v>1</v>
      </c>
      <c r="E122" s="34" t="s">
        <v>740</v>
      </c>
      <c r="G122" s="36">
        <v>2277</v>
      </c>
      <c r="J122" s="37">
        <v>246</v>
      </c>
      <c r="K122" s="105" t="s">
        <v>103</v>
      </c>
      <c r="L122" s="105" t="s">
        <v>584</v>
      </c>
      <c r="M122" s="106" t="s">
        <v>583</v>
      </c>
      <c r="N122" s="154" t="s">
        <v>48</v>
      </c>
      <c r="O122" s="105" t="s">
        <v>760</v>
      </c>
      <c r="P122" s="107">
        <v>0</v>
      </c>
      <c r="Q122" s="108" t="s">
        <v>25</v>
      </c>
      <c r="R122" s="108" t="s">
        <v>759</v>
      </c>
      <c r="S122" s="106">
        <v>2037</v>
      </c>
      <c r="T122" s="109">
        <v>50404</v>
      </c>
      <c r="U122" s="110">
        <v>0.55000000000000004</v>
      </c>
      <c r="V122" s="110">
        <v>0.40001999999999993</v>
      </c>
      <c r="W122" s="111">
        <f t="shared" si="37"/>
        <v>0.95001999999999998</v>
      </c>
      <c r="X122" s="110">
        <v>0.05</v>
      </c>
      <c r="Y122" s="110">
        <v>9.0000000000000011E-2</v>
      </c>
      <c r="Z122" s="110">
        <v>6.8000000000000005E-2</v>
      </c>
      <c r="AA122" s="112">
        <v>0.19800000000000001</v>
      </c>
      <c r="AB122" s="110">
        <v>4.9980000000000024E-2</v>
      </c>
      <c r="AC122" s="113">
        <f t="shared" si="31"/>
        <v>328500</v>
      </c>
      <c r="AD122" s="109"/>
      <c r="AE122" s="114">
        <f t="shared" si="38"/>
        <v>0</v>
      </c>
      <c r="AF122" s="112">
        <f t="shared" si="40"/>
        <v>0</v>
      </c>
      <c r="AG122" s="115">
        <f t="shared" si="39"/>
        <v>53.545499999999997</v>
      </c>
      <c r="AH122" s="114">
        <v>163</v>
      </c>
      <c r="AI122" s="114">
        <v>219</v>
      </c>
      <c r="AJ122" s="114">
        <v>1500</v>
      </c>
      <c r="AK122" s="114">
        <v>550</v>
      </c>
      <c r="AL122" s="115">
        <f t="shared" si="32"/>
        <v>180.67500000000001</v>
      </c>
      <c r="AM122" s="115">
        <f t="shared" si="33"/>
        <v>99.371250000000018</v>
      </c>
      <c r="AN122" s="116">
        <f t="shared" si="34"/>
        <v>120450</v>
      </c>
      <c r="AO122" s="116">
        <f t="shared" si="35"/>
        <v>35697</v>
      </c>
      <c r="AP122" s="117">
        <f t="shared" si="41"/>
        <v>0.59998000000000007</v>
      </c>
      <c r="AQ122" s="118">
        <f t="shared" si="36"/>
        <v>2.024472392638037</v>
      </c>
      <c r="AR122" s="119" t="s">
        <v>783</v>
      </c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</row>
    <row r="123" spans="1:123">
      <c r="A123" s="248" t="s">
        <v>464</v>
      </c>
      <c r="B123" s="19" t="s">
        <v>636</v>
      </c>
      <c r="C123" s="21" t="s">
        <v>377</v>
      </c>
      <c r="D123" s="22">
        <v>1</v>
      </c>
      <c r="E123" s="23" t="s">
        <v>740</v>
      </c>
      <c r="G123" s="24">
        <v>2277</v>
      </c>
      <c r="J123" s="25">
        <v>247</v>
      </c>
      <c r="K123" s="176" t="s">
        <v>103</v>
      </c>
      <c r="L123" s="176" t="s">
        <v>584</v>
      </c>
      <c r="M123" s="177" t="s">
        <v>583</v>
      </c>
      <c r="N123" s="190" t="s">
        <v>49</v>
      </c>
      <c r="O123" s="176" t="s">
        <v>760</v>
      </c>
      <c r="P123" s="149">
        <v>0</v>
      </c>
      <c r="Q123" s="178" t="s">
        <v>25</v>
      </c>
      <c r="R123" s="178" t="s">
        <v>759</v>
      </c>
      <c r="S123" s="177">
        <v>2039</v>
      </c>
      <c r="T123" s="179">
        <v>160706</v>
      </c>
      <c r="U123" s="180">
        <v>0.55000000000000004</v>
      </c>
      <c r="V123" s="180">
        <v>0.40001999999999993</v>
      </c>
      <c r="W123" s="181">
        <f t="shared" si="37"/>
        <v>0.95001999999999998</v>
      </c>
      <c r="X123" s="180">
        <v>0.05</v>
      </c>
      <c r="Y123" s="180">
        <v>9.0000000000000011E-2</v>
      </c>
      <c r="Z123" s="180">
        <v>6.8000000000000005E-2</v>
      </c>
      <c r="AA123" s="182">
        <v>0.19800000000000001</v>
      </c>
      <c r="AB123" s="180">
        <v>4.9980000000000024E-2</v>
      </c>
      <c r="AC123" s="113">
        <f t="shared" si="31"/>
        <v>328500</v>
      </c>
      <c r="AD123" s="179"/>
      <c r="AE123" s="183">
        <f t="shared" si="38"/>
        <v>0</v>
      </c>
      <c r="AF123" s="182">
        <f t="shared" si="40"/>
        <v>0</v>
      </c>
      <c r="AG123" s="184">
        <f t="shared" si="39"/>
        <v>53.545499999999997</v>
      </c>
      <c r="AH123" s="183">
        <v>163</v>
      </c>
      <c r="AI123" s="183">
        <v>219</v>
      </c>
      <c r="AJ123" s="183">
        <v>1500</v>
      </c>
      <c r="AK123" s="183">
        <v>550</v>
      </c>
      <c r="AL123" s="184">
        <f t="shared" si="32"/>
        <v>180.67500000000001</v>
      </c>
      <c r="AM123" s="184">
        <f t="shared" si="33"/>
        <v>99.371250000000018</v>
      </c>
      <c r="AN123" s="151">
        <f t="shared" si="34"/>
        <v>120450</v>
      </c>
      <c r="AO123" s="151">
        <f t="shared" si="35"/>
        <v>35697</v>
      </c>
      <c r="AP123" s="152">
        <f t="shared" si="41"/>
        <v>0.59998000000000007</v>
      </c>
      <c r="AQ123" s="153">
        <f t="shared" si="36"/>
        <v>2.024472392638037</v>
      </c>
      <c r="AR123" s="185" t="s">
        <v>783</v>
      </c>
    </row>
    <row r="124" spans="1:123" s="120" customFormat="1">
      <c r="A124" s="247" t="s">
        <v>464</v>
      </c>
      <c r="B124" s="103" t="s">
        <v>637</v>
      </c>
      <c r="C124" s="104" t="s">
        <v>377</v>
      </c>
      <c r="D124" s="33">
        <v>1</v>
      </c>
      <c r="E124" s="34" t="s">
        <v>740</v>
      </c>
      <c r="G124" s="36">
        <v>2277</v>
      </c>
      <c r="J124" s="37">
        <v>248</v>
      </c>
      <c r="K124" s="105" t="s">
        <v>103</v>
      </c>
      <c r="L124" s="105" t="s">
        <v>584</v>
      </c>
      <c r="M124" s="106" t="s">
        <v>583</v>
      </c>
      <c r="N124" s="154" t="s">
        <v>50</v>
      </c>
      <c r="O124" s="105" t="s">
        <v>760</v>
      </c>
      <c r="P124" s="107">
        <v>0</v>
      </c>
      <c r="Q124" s="108" t="s">
        <v>25</v>
      </c>
      <c r="R124" s="108" t="s">
        <v>759</v>
      </c>
      <c r="S124" s="106">
        <v>2041</v>
      </c>
      <c r="T124" s="109">
        <v>51865</v>
      </c>
      <c r="U124" s="110">
        <v>0.55000000000000004</v>
      </c>
      <c r="V124" s="110">
        <v>0.40001999999999993</v>
      </c>
      <c r="W124" s="111">
        <f t="shared" si="37"/>
        <v>0.95001999999999998</v>
      </c>
      <c r="X124" s="110">
        <v>0.05</v>
      </c>
      <c r="Y124" s="110">
        <v>9.0000000000000011E-2</v>
      </c>
      <c r="Z124" s="110">
        <v>6.8000000000000005E-2</v>
      </c>
      <c r="AA124" s="112">
        <v>0.19800000000000001</v>
      </c>
      <c r="AB124" s="110">
        <v>4.9980000000000024E-2</v>
      </c>
      <c r="AC124" s="113">
        <f t="shared" si="31"/>
        <v>328500</v>
      </c>
      <c r="AD124" s="109"/>
      <c r="AE124" s="114">
        <f t="shared" si="38"/>
        <v>0</v>
      </c>
      <c r="AF124" s="112">
        <f t="shared" si="40"/>
        <v>0</v>
      </c>
      <c r="AG124" s="115">
        <f t="shared" si="39"/>
        <v>53.545499999999997</v>
      </c>
      <c r="AH124" s="114">
        <v>163</v>
      </c>
      <c r="AI124" s="114">
        <v>219</v>
      </c>
      <c r="AJ124" s="114">
        <v>1500</v>
      </c>
      <c r="AK124" s="114">
        <v>550</v>
      </c>
      <c r="AL124" s="115">
        <f t="shared" si="32"/>
        <v>180.67500000000001</v>
      </c>
      <c r="AM124" s="115">
        <f t="shared" si="33"/>
        <v>99.371250000000018</v>
      </c>
      <c r="AN124" s="116">
        <f t="shared" si="34"/>
        <v>120450</v>
      </c>
      <c r="AO124" s="116">
        <f t="shared" si="35"/>
        <v>35697</v>
      </c>
      <c r="AP124" s="117">
        <f t="shared" si="41"/>
        <v>0.59998000000000007</v>
      </c>
      <c r="AQ124" s="118">
        <f t="shared" si="36"/>
        <v>2.024472392638037</v>
      </c>
      <c r="AR124" s="119" t="s">
        <v>783</v>
      </c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</row>
    <row r="125" spans="1:123">
      <c r="A125" s="248" t="s">
        <v>464</v>
      </c>
      <c r="B125" s="19" t="s">
        <v>629</v>
      </c>
      <c r="C125" s="21" t="s">
        <v>377</v>
      </c>
      <c r="D125" s="22">
        <v>1</v>
      </c>
      <c r="E125" s="23" t="s">
        <v>740</v>
      </c>
      <c r="G125" s="24">
        <v>2277</v>
      </c>
      <c r="J125" s="25">
        <v>242</v>
      </c>
      <c r="K125" s="176" t="s">
        <v>103</v>
      </c>
      <c r="L125" s="176" t="s">
        <v>584</v>
      </c>
      <c r="M125" s="177" t="s">
        <v>583</v>
      </c>
      <c r="N125" s="190" t="s">
        <v>51</v>
      </c>
      <c r="O125" s="176" t="s">
        <v>760</v>
      </c>
      <c r="P125" s="149">
        <v>0</v>
      </c>
      <c r="Q125" s="178" t="s">
        <v>25</v>
      </c>
      <c r="R125" s="178" t="s">
        <v>759</v>
      </c>
      <c r="S125" s="177">
        <v>2043</v>
      </c>
      <c r="T125" s="179">
        <v>52595</v>
      </c>
      <c r="U125" s="180">
        <v>0.55000000000000004</v>
      </c>
      <c r="V125" s="180">
        <v>0.40001999999999993</v>
      </c>
      <c r="W125" s="181">
        <f t="shared" si="37"/>
        <v>0.95001999999999998</v>
      </c>
      <c r="X125" s="180">
        <v>0.05</v>
      </c>
      <c r="Y125" s="180">
        <v>9.0000000000000011E-2</v>
      </c>
      <c r="Z125" s="180">
        <v>6.8000000000000005E-2</v>
      </c>
      <c r="AA125" s="182">
        <v>0.19800000000000001</v>
      </c>
      <c r="AB125" s="180">
        <v>4.9980000000000024E-2</v>
      </c>
      <c r="AC125" s="113">
        <f t="shared" si="31"/>
        <v>328500</v>
      </c>
      <c r="AD125" s="179"/>
      <c r="AE125" s="183">
        <f t="shared" si="38"/>
        <v>0</v>
      </c>
      <c r="AF125" s="182">
        <f t="shared" si="40"/>
        <v>0</v>
      </c>
      <c r="AG125" s="184">
        <f t="shared" si="39"/>
        <v>53.545499999999997</v>
      </c>
      <c r="AH125" s="183">
        <v>163</v>
      </c>
      <c r="AI125" s="183">
        <v>219</v>
      </c>
      <c r="AJ125" s="183">
        <v>1500</v>
      </c>
      <c r="AK125" s="183">
        <v>550</v>
      </c>
      <c r="AL125" s="184">
        <f t="shared" si="32"/>
        <v>180.67500000000001</v>
      </c>
      <c r="AM125" s="184">
        <f t="shared" si="33"/>
        <v>99.371250000000018</v>
      </c>
      <c r="AN125" s="151">
        <f t="shared" si="34"/>
        <v>120450</v>
      </c>
      <c r="AO125" s="151">
        <f t="shared" si="35"/>
        <v>35697</v>
      </c>
      <c r="AP125" s="152">
        <f t="shared" si="41"/>
        <v>0.59998000000000007</v>
      </c>
      <c r="AQ125" s="153">
        <f t="shared" si="36"/>
        <v>2.024472392638037</v>
      </c>
      <c r="AR125" s="185" t="s">
        <v>783</v>
      </c>
    </row>
    <row r="126" spans="1:123" s="120" customFormat="1">
      <c r="A126" s="247" t="s">
        <v>464</v>
      </c>
      <c r="B126" s="130" t="s">
        <v>807</v>
      </c>
      <c r="D126" s="131" t="s">
        <v>705</v>
      </c>
      <c r="E126" s="134" t="s">
        <v>740</v>
      </c>
      <c r="G126" s="131"/>
      <c r="K126" s="105" t="s">
        <v>103</v>
      </c>
      <c r="L126" s="105" t="s">
        <v>584</v>
      </c>
      <c r="M126" s="106" t="s">
        <v>583</v>
      </c>
      <c r="N126" s="154" t="s">
        <v>801</v>
      </c>
      <c r="O126" s="105" t="s">
        <v>760</v>
      </c>
      <c r="P126" s="107">
        <v>0</v>
      </c>
      <c r="Q126" s="108" t="s">
        <v>25</v>
      </c>
      <c r="R126" s="108" t="s">
        <v>759</v>
      </c>
      <c r="S126" s="106">
        <v>2045</v>
      </c>
      <c r="T126" s="109">
        <v>53326</v>
      </c>
      <c r="U126" s="110">
        <v>0.55000000000000004</v>
      </c>
      <c r="V126" s="110">
        <v>0.40001999999999993</v>
      </c>
      <c r="W126" s="111">
        <f t="shared" si="37"/>
        <v>0.95001999999999998</v>
      </c>
      <c r="X126" s="110">
        <v>0.05</v>
      </c>
      <c r="Y126" s="110">
        <v>9.0000000000000011E-2</v>
      </c>
      <c r="Z126" s="110">
        <v>6.8000000000000005E-2</v>
      </c>
      <c r="AA126" s="112">
        <v>0.19800000000000001</v>
      </c>
      <c r="AB126" s="110">
        <v>4.9980000000000024E-2</v>
      </c>
      <c r="AC126" s="113">
        <f t="shared" si="31"/>
        <v>328500</v>
      </c>
      <c r="AD126" s="109"/>
      <c r="AE126" s="114">
        <f t="shared" si="38"/>
        <v>0</v>
      </c>
      <c r="AF126" s="112">
        <f t="shared" si="40"/>
        <v>0</v>
      </c>
      <c r="AG126" s="115">
        <f t="shared" si="39"/>
        <v>53.545499999999997</v>
      </c>
      <c r="AH126" s="114">
        <v>163</v>
      </c>
      <c r="AI126" s="114">
        <v>219</v>
      </c>
      <c r="AJ126" s="114">
        <v>1500</v>
      </c>
      <c r="AK126" s="114">
        <v>550</v>
      </c>
      <c r="AL126" s="115">
        <f t="shared" si="32"/>
        <v>180.67500000000001</v>
      </c>
      <c r="AM126" s="115">
        <f t="shared" si="33"/>
        <v>99.371250000000018</v>
      </c>
      <c r="AN126" s="116">
        <f t="shared" si="34"/>
        <v>120450</v>
      </c>
      <c r="AO126" s="116">
        <f t="shared" si="35"/>
        <v>35697</v>
      </c>
      <c r="AP126" s="117">
        <f t="shared" si="41"/>
        <v>0.59998000000000007</v>
      </c>
      <c r="AQ126" s="118">
        <f t="shared" si="36"/>
        <v>2.024472392638037</v>
      </c>
      <c r="AR126" s="119" t="s">
        <v>783</v>
      </c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</row>
    <row r="127" spans="1:123">
      <c r="A127" s="248" t="s">
        <v>466</v>
      </c>
      <c r="B127" s="19" t="s">
        <v>267</v>
      </c>
      <c r="C127" s="21" t="s">
        <v>376</v>
      </c>
      <c r="D127" s="22">
        <v>1</v>
      </c>
      <c r="E127" s="23" t="s">
        <v>740</v>
      </c>
      <c r="F127" s="17"/>
      <c r="G127" s="24">
        <v>2286</v>
      </c>
      <c r="H127" s="17"/>
      <c r="I127" s="17"/>
      <c r="J127" s="25">
        <v>254</v>
      </c>
      <c r="K127" s="176" t="s">
        <v>103</v>
      </c>
      <c r="L127" s="176" t="s">
        <v>124</v>
      </c>
      <c r="M127" s="177" t="s">
        <v>583</v>
      </c>
      <c r="N127" s="190" t="s">
        <v>49</v>
      </c>
      <c r="O127" s="176" t="s">
        <v>760</v>
      </c>
      <c r="P127" s="149">
        <v>0</v>
      </c>
      <c r="Q127" s="178" t="s">
        <v>25</v>
      </c>
      <c r="R127" s="178" t="s">
        <v>26</v>
      </c>
      <c r="S127" s="177">
        <v>2029</v>
      </c>
      <c r="T127" s="179">
        <v>47299</v>
      </c>
      <c r="U127" s="180">
        <v>0.45</v>
      </c>
      <c r="V127" s="180">
        <v>0.5</v>
      </c>
      <c r="W127" s="181">
        <f t="shared" ref="W127:W152" si="42">SUM(U127:V127)</f>
        <v>0.95</v>
      </c>
      <c r="X127" s="180">
        <v>0.05</v>
      </c>
      <c r="Y127" s="180">
        <v>9.0000000000000011E-2</v>
      </c>
      <c r="Z127" s="180">
        <v>6.8000000000000005E-2</v>
      </c>
      <c r="AA127" s="182">
        <v>0.19800000000000001</v>
      </c>
      <c r="AB127" s="180">
        <v>5.0000000000000044E-2</v>
      </c>
      <c r="AC127" s="113">
        <f t="shared" si="31"/>
        <v>308574.72199999995</v>
      </c>
      <c r="AD127" s="179"/>
      <c r="AE127" s="183">
        <f t="shared" ref="AE127:AE166" si="43">P127/10^6</f>
        <v>0</v>
      </c>
      <c r="AF127" s="182">
        <f t="shared" ref="AF127:AF166" si="44">IF(AL127=0,0,AE127/AL127)</f>
        <v>0</v>
      </c>
      <c r="AG127" s="184">
        <f t="shared" ref="AG127:AG166" si="45">(AH127*AI127*AJ127)/10^6</f>
        <v>50.297679685999995</v>
      </c>
      <c r="AH127" s="183">
        <v>163</v>
      </c>
      <c r="AI127" s="183">
        <v>299.00651356589145</v>
      </c>
      <c r="AJ127" s="183">
        <v>1032</v>
      </c>
      <c r="AK127" s="183">
        <v>665</v>
      </c>
      <c r="AL127" s="184">
        <f t="shared" ref="AL127:AL152" si="46">(AK127*AJ127*AI127)/10^6</f>
        <v>205.20219012999999</v>
      </c>
      <c r="AM127" s="184">
        <f t="shared" ref="AM127:AM152" si="47">AL127*U127</f>
        <v>92.340985558499995</v>
      </c>
      <c r="AN127" s="151">
        <f t="shared" ref="AN127:AN152" si="48">AI127*AK127</f>
        <v>198839.33152131783</v>
      </c>
      <c r="AO127" s="151">
        <f t="shared" ref="AO127:AO152" si="49">AH127*AI127</f>
        <v>48738.061711240305</v>
      </c>
      <c r="AP127" s="152">
        <f t="shared" ref="AP127:AP152" si="50">U127+AB127</f>
        <v>0.5</v>
      </c>
      <c r="AQ127" s="153">
        <f t="shared" ref="AQ127:AQ152" si="51">AL127*AP127/(AG127+AE127)</f>
        <v>2.0398773006134969</v>
      </c>
      <c r="AR127" s="185" t="s">
        <v>783</v>
      </c>
    </row>
    <row r="128" spans="1:123" s="120" customFormat="1">
      <c r="A128" s="247" t="s">
        <v>483</v>
      </c>
      <c r="B128" s="103" t="s">
        <v>671</v>
      </c>
      <c r="C128" s="104" t="s">
        <v>362</v>
      </c>
      <c r="D128" s="33">
        <v>1</v>
      </c>
      <c r="E128" s="34" t="s">
        <v>740</v>
      </c>
      <c r="F128" s="35"/>
      <c r="G128" s="36">
        <v>2381</v>
      </c>
      <c r="H128" s="35"/>
      <c r="I128" s="35"/>
      <c r="J128" s="37">
        <v>289</v>
      </c>
      <c r="K128" s="105" t="s">
        <v>143</v>
      </c>
      <c r="L128" s="105" t="s">
        <v>146</v>
      </c>
      <c r="M128" s="106" t="s">
        <v>575</v>
      </c>
      <c r="N128" s="154" t="s">
        <v>845</v>
      </c>
      <c r="O128" s="105" t="s">
        <v>760</v>
      </c>
      <c r="P128" s="107">
        <v>0</v>
      </c>
      <c r="Q128" s="108" t="s">
        <v>25</v>
      </c>
      <c r="R128" s="108" t="s">
        <v>26</v>
      </c>
      <c r="S128" s="106">
        <v>2028</v>
      </c>
      <c r="T128" s="109">
        <v>47118</v>
      </c>
      <c r="U128" s="110">
        <v>0.44</v>
      </c>
      <c r="V128" s="110">
        <v>0.32</v>
      </c>
      <c r="W128" s="111">
        <f t="shared" si="42"/>
        <v>0.76</v>
      </c>
      <c r="X128" s="110">
        <v>7.0000000000000007E-2</v>
      </c>
      <c r="Y128" s="110">
        <v>9.5000000000000001E-2</v>
      </c>
      <c r="Z128" s="110">
        <v>6.8000000000000005E-2</v>
      </c>
      <c r="AA128" s="112">
        <v>0.19800000000000001</v>
      </c>
      <c r="AB128" s="110">
        <v>0.24</v>
      </c>
      <c r="AC128" s="113">
        <f t="shared" si="31"/>
        <v>133120.74001947418</v>
      </c>
      <c r="AD128" s="109"/>
      <c r="AE128" s="114">
        <f t="shared" si="43"/>
        <v>0</v>
      </c>
      <c r="AF128" s="112">
        <f t="shared" si="44"/>
        <v>0</v>
      </c>
      <c r="AG128" s="115">
        <f t="shared" si="45"/>
        <v>23.296129503407986</v>
      </c>
      <c r="AH128" s="114">
        <v>175</v>
      </c>
      <c r="AI128" s="114">
        <v>180.1363193768257</v>
      </c>
      <c r="AJ128" s="114">
        <v>739</v>
      </c>
      <c r="AK128" s="114">
        <v>700</v>
      </c>
      <c r="AL128" s="115">
        <f t="shared" si="46"/>
        <v>93.184518013631944</v>
      </c>
      <c r="AM128" s="115">
        <f t="shared" si="47"/>
        <v>41.001187925998053</v>
      </c>
      <c r="AN128" s="116">
        <f t="shared" si="48"/>
        <v>126095.42356377799</v>
      </c>
      <c r="AO128" s="116">
        <f t="shared" si="49"/>
        <v>31523.855890944498</v>
      </c>
      <c r="AP128" s="117">
        <f t="shared" si="50"/>
        <v>0.67999999999999994</v>
      </c>
      <c r="AQ128" s="118">
        <f t="shared" si="51"/>
        <v>2.7199999999999998</v>
      </c>
      <c r="AR128" s="119" t="s">
        <v>783</v>
      </c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</row>
    <row r="129" spans="1:123">
      <c r="A129" s="248" t="s">
        <v>428</v>
      </c>
      <c r="B129" s="19" t="s">
        <v>212</v>
      </c>
      <c r="C129" s="21" t="s">
        <v>327</v>
      </c>
      <c r="D129" s="22">
        <v>1</v>
      </c>
      <c r="E129" s="23" t="s">
        <v>740</v>
      </c>
      <c r="F129" s="17"/>
      <c r="G129" s="24" t="s">
        <v>753</v>
      </c>
      <c r="H129" s="17"/>
      <c r="I129" s="17"/>
      <c r="J129" s="25">
        <v>168</v>
      </c>
      <c r="K129" s="176" t="s">
        <v>53</v>
      </c>
      <c r="L129" s="176" t="s">
        <v>54</v>
      </c>
      <c r="M129" s="177" t="s">
        <v>568</v>
      </c>
      <c r="N129" s="190" t="s">
        <v>62</v>
      </c>
      <c r="O129" s="176" t="s">
        <v>756</v>
      </c>
      <c r="P129" s="149">
        <v>2781250</v>
      </c>
      <c r="Q129" s="178" t="s">
        <v>25</v>
      </c>
      <c r="R129" s="178" t="s">
        <v>26</v>
      </c>
      <c r="S129" s="177">
        <v>2034</v>
      </c>
      <c r="T129" s="179">
        <v>49309</v>
      </c>
      <c r="U129" s="180">
        <v>0.36959999999999998</v>
      </c>
      <c r="V129" s="180"/>
      <c r="W129" s="181">
        <f t="shared" si="42"/>
        <v>0.36959999999999998</v>
      </c>
      <c r="X129" s="180"/>
      <c r="Y129" s="180"/>
      <c r="Z129" s="180"/>
      <c r="AA129" s="182">
        <v>0.19800000000000001</v>
      </c>
      <c r="AB129" s="180">
        <v>0.63040000000000007</v>
      </c>
      <c r="AC129" s="113">
        <f t="shared" si="31"/>
        <v>202400</v>
      </c>
      <c r="AD129" s="179"/>
      <c r="AE129" s="183">
        <f t="shared" si="43"/>
        <v>2.78125</v>
      </c>
      <c r="AF129" s="182">
        <f t="shared" si="44"/>
        <v>2.4984279554437657E-2</v>
      </c>
      <c r="AG129" s="184">
        <f t="shared" si="45"/>
        <v>25.9072</v>
      </c>
      <c r="AH129" s="183">
        <v>128</v>
      </c>
      <c r="AI129" s="183">
        <v>275</v>
      </c>
      <c r="AJ129" s="183">
        <v>736</v>
      </c>
      <c r="AK129" s="183">
        <v>550</v>
      </c>
      <c r="AL129" s="184">
        <f t="shared" si="46"/>
        <v>111.32</v>
      </c>
      <c r="AM129" s="184">
        <f t="shared" si="47"/>
        <v>41.143871999999995</v>
      </c>
      <c r="AN129" s="151">
        <f t="shared" si="48"/>
        <v>151250</v>
      </c>
      <c r="AO129" s="151">
        <f t="shared" si="49"/>
        <v>35200</v>
      </c>
      <c r="AP129" s="152">
        <f t="shared" si="50"/>
        <v>1</v>
      </c>
      <c r="AQ129" s="153">
        <f t="shared" si="51"/>
        <v>3.8803072316559448</v>
      </c>
      <c r="AR129" s="185" t="s">
        <v>783</v>
      </c>
    </row>
    <row r="130" spans="1:123" s="120" customFormat="1">
      <c r="A130" s="247" t="s">
        <v>508</v>
      </c>
      <c r="B130" s="103" t="s">
        <v>284</v>
      </c>
      <c r="C130" s="104" t="s">
        <v>343</v>
      </c>
      <c r="D130" s="33">
        <v>1</v>
      </c>
      <c r="E130" s="34" t="s">
        <v>740</v>
      </c>
      <c r="F130" s="35"/>
      <c r="G130" s="36">
        <v>2106</v>
      </c>
      <c r="H130" s="35"/>
      <c r="I130" s="35"/>
      <c r="J130" s="37">
        <v>329</v>
      </c>
      <c r="K130" s="105" t="s">
        <v>159</v>
      </c>
      <c r="L130" s="154" t="s">
        <v>160</v>
      </c>
      <c r="M130" s="155" t="s">
        <v>576</v>
      </c>
      <c r="N130" s="154" t="s">
        <v>47</v>
      </c>
      <c r="O130" s="105" t="s">
        <v>756</v>
      </c>
      <c r="P130" s="107">
        <v>1436252.3</v>
      </c>
      <c r="Q130" s="108" t="s">
        <v>25</v>
      </c>
      <c r="R130" s="108" t="s">
        <v>26</v>
      </c>
      <c r="S130" s="106">
        <v>2035</v>
      </c>
      <c r="T130" s="109">
        <v>49490</v>
      </c>
      <c r="U130" s="110">
        <v>0.7</v>
      </c>
      <c r="V130" s="110">
        <v>0.30000000000000004</v>
      </c>
      <c r="W130" s="111">
        <f t="shared" si="42"/>
        <v>1</v>
      </c>
      <c r="X130" s="110">
        <v>0.05</v>
      </c>
      <c r="Y130" s="110">
        <v>9.0000000000000011E-2</v>
      </c>
      <c r="Z130" s="110">
        <v>6.8000000000000005E-2</v>
      </c>
      <c r="AA130" s="112">
        <v>0.19800000000000001</v>
      </c>
      <c r="AB130" s="110"/>
      <c r="AC130" s="113">
        <f t="shared" si="31"/>
        <v>232066.42500000002</v>
      </c>
      <c r="AD130" s="109"/>
      <c r="AE130" s="114">
        <f t="shared" si="43"/>
        <v>1.4362523</v>
      </c>
      <c r="AF130" s="112">
        <f t="shared" si="44"/>
        <v>1.2377941358815689E-2</v>
      </c>
      <c r="AG130" s="115">
        <f t="shared" si="45"/>
        <v>37.130628000000009</v>
      </c>
      <c r="AH130" s="114">
        <v>160</v>
      </c>
      <c r="AI130" s="114">
        <v>270.15881839348083</v>
      </c>
      <c r="AJ130" s="114">
        <v>859</v>
      </c>
      <c r="AK130" s="114">
        <v>500.00000000000006</v>
      </c>
      <c r="AL130" s="115">
        <f t="shared" si="46"/>
        <v>116.03321250000003</v>
      </c>
      <c r="AM130" s="115">
        <f t="shared" si="47"/>
        <v>81.223248750000025</v>
      </c>
      <c r="AN130" s="116">
        <f t="shared" si="48"/>
        <v>135079.40919674042</v>
      </c>
      <c r="AO130" s="116">
        <f t="shared" si="49"/>
        <v>43225.410942956936</v>
      </c>
      <c r="AP130" s="117">
        <f t="shared" si="50"/>
        <v>0.7</v>
      </c>
      <c r="AQ130" s="118">
        <f t="shared" si="51"/>
        <v>2.1060362704525004</v>
      </c>
      <c r="AR130" s="119" t="s">
        <v>783</v>
      </c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</row>
    <row r="131" spans="1:123">
      <c r="A131" s="248" t="s">
        <v>484</v>
      </c>
      <c r="B131" s="19" t="s">
        <v>674</v>
      </c>
      <c r="C131" s="21" t="s">
        <v>361</v>
      </c>
      <c r="D131" s="22">
        <v>1</v>
      </c>
      <c r="E131" s="23" t="s">
        <v>740</v>
      </c>
      <c r="F131" s="17"/>
      <c r="G131" s="24">
        <v>2381</v>
      </c>
      <c r="H131" s="17"/>
      <c r="I131" s="17"/>
      <c r="J131" s="25">
        <v>292</v>
      </c>
      <c r="K131" s="176" t="s">
        <v>143</v>
      </c>
      <c r="L131" s="176" t="s">
        <v>146</v>
      </c>
      <c r="M131" s="177" t="s">
        <v>575</v>
      </c>
      <c r="N131" s="190" t="s">
        <v>618</v>
      </c>
      <c r="O131" s="176" t="s">
        <v>760</v>
      </c>
      <c r="P131" s="149">
        <v>0</v>
      </c>
      <c r="Q131" s="178" t="s">
        <v>25</v>
      </c>
      <c r="R131" s="178" t="s">
        <v>26</v>
      </c>
      <c r="S131" s="177">
        <v>2030</v>
      </c>
      <c r="T131" s="179">
        <v>47848</v>
      </c>
      <c r="U131" s="180">
        <v>0.32800000000000001</v>
      </c>
      <c r="V131" s="180">
        <v>0.18</v>
      </c>
      <c r="W131" s="181">
        <f t="shared" si="42"/>
        <v>0.50800000000000001</v>
      </c>
      <c r="X131" s="180">
        <v>7.0000000000000007E-2</v>
      </c>
      <c r="Y131" s="180">
        <v>7.0000000000000007E-2</v>
      </c>
      <c r="Z131" s="180">
        <v>6.8000000000000005E-2</v>
      </c>
      <c r="AA131" s="182">
        <v>0.19800000000000001</v>
      </c>
      <c r="AB131" s="180">
        <v>0.49199999999999999</v>
      </c>
      <c r="AC131" s="113">
        <f t="shared" si="31"/>
        <v>124920</v>
      </c>
      <c r="AD131" s="179"/>
      <c r="AE131" s="183">
        <f t="shared" si="43"/>
        <v>0</v>
      </c>
      <c r="AF131" s="182">
        <f t="shared" si="44"/>
        <v>0</v>
      </c>
      <c r="AG131" s="184">
        <f t="shared" si="45"/>
        <v>21.861000000000001</v>
      </c>
      <c r="AH131" s="183">
        <v>175</v>
      </c>
      <c r="AI131" s="183">
        <v>180</v>
      </c>
      <c r="AJ131" s="183">
        <v>694</v>
      </c>
      <c r="AK131" s="183">
        <v>750</v>
      </c>
      <c r="AL131" s="184">
        <f t="shared" si="46"/>
        <v>93.69</v>
      </c>
      <c r="AM131" s="184">
        <f t="shared" si="47"/>
        <v>30.730319999999999</v>
      </c>
      <c r="AN131" s="151">
        <f t="shared" si="48"/>
        <v>135000</v>
      </c>
      <c r="AO131" s="151">
        <f t="shared" si="49"/>
        <v>31500</v>
      </c>
      <c r="AP131" s="152">
        <f t="shared" si="50"/>
        <v>0.82000000000000006</v>
      </c>
      <c r="AQ131" s="153">
        <f t="shared" si="51"/>
        <v>3.5142857142857142</v>
      </c>
      <c r="AR131" s="185" t="s">
        <v>783</v>
      </c>
    </row>
    <row r="132" spans="1:123" s="120" customFormat="1">
      <c r="A132" s="247" t="s">
        <v>428</v>
      </c>
      <c r="B132" s="103" t="s">
        <v>213</v>
      </c>
      <c r="C132" s="104" t="s">
        <v>327</v>
      </c>
      <c r="D132" s="33">
        <v>1</v>
      </c>
      <c r="E132" s="34" t="s">
        <v>740</v>
      </c>
      <c r="F132" s="35"/>
      <c r="G132" s="36" t="s">
        <v>753</v>
      </c>
      <c r="H132" s="35"/>
      <c r="I132" s="35"/>
      <c r="J132" s="37">
        <v>169</v>
      </c>
      <c r="K132" s="105" t="s">
        <v>53</v>
      </c>
      <c r="L132" s="105" t="s">
        <v>54</v>
      </c>
      <c r="M132" s="106" t="s">
        <v>568</v>
      </c>
      <c r="N132" s="154" t="s">
        <v>63</v>
      </c>
      <c r="O132" s="105" t="s">
        <v>756</v>
      </c>
      <c r="P132" s="107">
        <v>2781250</v>
      </c>
      <c r="Q132" s="108" t="s">
        <v>25</v>
      </c>
      <c r="R132" s="108" t="s">
        <v>26</v>
      </c>
      <c r="S132" s="106">
        <v>2035</v>
      </c>
      <c r="T132" s="109">
        <v>49674</v>
      </c>
      <c r="U132" s="110">
        <v>0.36959999999999998</v>
      </c>
      <c r="V132" s="110"/>
      <c r="W132" s="111">
        <f t="shared" si="42"/>
        <v>0.36959999999999998</v>
      </c>
      <c r="X132" s="110"/>
      <c r="Y132" s="110"/>
      <c r="Z132" s="110"/>
      <c r="AA132" s="112">
        <v>0.19800000000000001</v>
      </c>
      <c r="AB132" s="110">
        <v>0.63040000000000007</v>
      </c>
      <c r="AC132" s="113">
        <f t="shared" si="31"/>
        <v>202400</v>
      </c>
      <c r="AD132" s="109"/>
      <c r="AE132" s="114">
        <f t="shared" si="43"/>
        <v>2.78125</v>
      </c>
      <c r="AF132" s="112">
        <f t="shared" si="44"/>
        <v>2.4984279554437657E-2</v>
      </c>
      <c r="AG132" s="115">
        <f t="shared" si="45"/>
        <v>25.9072</v>
      </c>
      <c r="AH132" s="114">
        <v>128</v>
      </c>
      <c r="AI132" s="114">
        <v>275</v>
      </c>
      <c r="AJ132" s="114">
        <v>736</v>
      </c>
      <c r="AK132" s="114">
        <v>550</v>
      </c>
      <c r="AL132" s="115">
        <f t="shared" si="46"/>
        <v>111.32</v>
      </c>
      <c r="AM132" s="115">
        <f t="shared" si="47"/>
        <v>41.143871999999995</v>
      </c>
      <c r="AN132" s="116">
        <f t="shared" si="48"/>
        <v>151250</v>
      </c>
      <c r="AO132" s="116">
        <f t="shared" si="49"/>
        <v>35200</v>
      </c>
      <c r="AP132" s="117">
        <f t="shared" si="50"/>
        <v>1</v>
      </c>
      <c r="AQ132" s="118">
        <f t="shared" si="51"/>
        <v>3.8803072316559448</v>
      </c>
      <c r="AR132" s="119" t="s">
        <v>783</v>
      </c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</row>
    <row r="133" spans="1:123">
      <c r="A133" s="248" t="s">
        <v>524</v>
      </c>
      <c r="B133" s="19" t="s">
        <v>405</v>
      </c>
      <c r="C133" s="21" t="s">
        <v>330</v>
      </c>
      <c r="D133" s="22">
        <v>1</v>
      </c>
      <c r="E133" s="23" t="s">
        <v>740</v>
      </c>
      <c r="F133" s="17"/>
      <c r="G133" s="24">
        <v>2314</v>
      </c>
      <c r="H133" s="17"/>
      <c r="I133" s="17"/>
      <c r="J133" s="25">
        <v>186</v>
      </c>
      <c r="K133" s="176" t="s">
        <v>53</v>
      </c>
      <c r="L133" s="176" t="s">
        <v>74</v>
      </c>
      <c r="M133" s="177" t="s">
        <v>568</v>
      </c>
      <c r="N133" s="190" t="s">
        <v>831</v>
      </c>
      <c r="O133" s="176" t="s">
        <v>760</v>
      </c>
      <c r="P133" s="149">
        <v>0</v>
      </c>
      <c r="Q133" s="178" t="s">
        <v>25</v>
      </c>
      <c r="R133" s="178" t="s">
        <v>26</v>
      </c>
      <c r="S133" s="177">
        <v>2035</v>
      </c>
      <c r="T133" s="179">
        <v>49674</v>
      </c>
      <c r="U133" s="180">
        <v>0.85719999999999996</v>
      </c>
      <c r="V133" s="180"/>
      <c r="W133" s="181">
        <f t="shared" si="42"/>
        <v>0.85719999999999996</v>
      </c>
      <c r="X133" s="180"/>
      <c r="Y133" s="180"/>
      <c r="Z133" s="180"/>
      <c r="AA133" s="182">
        <v>0.19800000000000001</v>
      </c>
      <c r="AB133" s="180">
        <v>0.14280000000000004</v>
      </c>
      <c r="AC133" s="113">
        <f t="shared" si="31"/>
        <v>75499.999999900247</v>
      </c>
      <c r="AD133" s="179"/>
      <c r="AE133" s="183">
        <f t="shared" si="43"/>
        <v>0</v>
      </c>
      <c r="AF133" s="182">
        <f t="shared" si="44"/>
        <v>0</v>
      </c>
      <c r="AG133" s="184">
        <f t="shared" si="45"/>
        <v>8.1539999999892263</v>
      </c>
      <c r="AH133" s="183">
        <v>108</v>
      </c>
      <c r="AI133" s="183">
        <v>209.72222222194512</v>
      </c>
      <c r="AJ133" s="183">
        <v>360</v>
      </c>
      <c r="AK133" s="183">
        <v>350</v>
      </c>
      <c r="AL133" s="184">
        <f t="shared" si="46"/>
        <v>26.424999999965088</v>
      </c>
      <c r="AM133" s="184">
        <f t="shared" si="47"/>
        <v>22.651509999970074</v>
      </c>
      <c r="AN133" s="151">
        <f t="shared" si="48"/>
        <v>73402.777777680792</v>
      </c>
      <c r="AO133" s="151">
        <f t="shared" si="49"/>
        <v>22649.999999970074</v>
      </c>
      <c r="AP133" s="152">
        <f t="shared" si="50"/>
        <v>1</v>
      </c>
      <c r="AQ133" s="153">
        <f t="shared" si="51"/>
        <v>3.2407407407407409</v>
      </c>
      <c r="AR133" s="185" t="s">
        <v>783</v>
      </c>
    </row>
    <row r="134" spans="1:123" s="120" customFormat="1">
      <c r="A134" s="247" t="s">
        <v>431</v>
      </c>
      <c r="B134" s="103" t="s">
        <v>406</v>
      </c>
      <c r="C134" s="104" t="s">
        <v>330</v>
      </c>
      <c r="D134" s="33">
        <v>1</v>
      </c>
      <c r="E134" s="34" t="s">
        <v>740</v>
      </c>
      <c r="F134" s="35"/>
      <c r="G134" s="36">
        <v>2314</v>
      </c>
      <c r="H134" s="35"/>
      <c r="I134" s="35"/>
      <c r="J134" s="37">
        <v>187</v>
      </c>
      <c r="K134" s="105" t="s">
        <v>53</v>
      </c>
      <c r="L134" s="105" t="s">
        <v>74</v>
      </c>
      <c r="M134" s="106" t="s">
        <v>568</v>
      </c>
      <c r="N134" s="154" t="s">
        <v>832</v>
      </c>
      <c r="O134" s="105" t="s">
        <v>760</v>
      </c>
      <c r="P134" s="107">
        <v>0</v>
      </c>
      <c r="Q134" s="108" t="s">
        <v>25</v>
      </c>
      <c r="R134" s="108" t="s">
        <v>26</v>
      </c>
      <c r="S134" s="106">
        <v>2035</v>
      </c>
      <c r="T134" s="109">
        <v>49674</v>
      </c>
      <c r="U134" s="110">
        <v>0.6</v>
      </c>
      <c r="V134" s="110"/>
      <c r="W134" s="111">
        <f t="shared" si="42"/>
        <v>0.6</v>
      </c>
      <c r="X134" s="110"/>
      <c r="Y134" s="110"/>
      <c r="Z134" s="110"/>
      <c r="AA134" s="112">
        <v>0.19800000000000001</v>
      </c>
      <c r="AB134" s="110">
        <v>0.4</v>
      </c>
      <c r="AC134" s="113">
        <f t="shared" ref="AC134:AC197" si="52">AI134*AJ134</f>
        <v>79860</v>
      </c>
      <c r="AD134" s="109"/>
      <c r="AE134" s="114">
        <f t="shared" si="43"/>
        <v>0</v>
      </c>
      <c r="AF134" s="112">
        <f t="shared" si="44"/>
        <v>0</v>
      </c>
      <c r="AG134" s="115">
        <f t="shared" si="45"/>
        <v>8.6248799999999992</v>
      </c>
      <c r="AH134" s="114">
        <v>108</v>
      </c>
      <c r="AI134" s="114">
        <v>210.15789473684211</v>
      </c>
      <c r="AJ134" s="114">
        <v>380</v>
      </c>
      <c r="AK134" s="114">
        <v>350</v>
      </c>
      <c r="AL134" s="115">
        <f t="shared" si="46"/>
        <v>27.951000000000001</v>
      </c>
      <c r="AM134" s="115">
        <f t="shared" si="47"/>
        <v>16.770599999999998</v>
      </c>
      <c r="AN134" s="116">
        <f t="shared" si="48"/>
        <v>73555.263157894733</v>
      </c>
      <c r="AO134" s="116">
        <f t="shared" si="49"/>
        <v>22697.052631578947</v>
      </c>
      <c r="AP134" s="117">
        <f t="shared" si="50"/>
        <v>1</v>
      </c>
      <c r="AQ134" s="118">
        <f t="shared" si="51"/>
        <v>3.2407407407407409</v>
      </c>
      <c r="AR134" s="119" t="s">
        <v>783</v>
      </c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</row>
    <row r="135" spans="1:123">
      <c r="A135" s="248" t="s">
        <v>426</v>
      </c>
      <c r="B135" s="19" t="s">
        <v>201</v>
      </c>
      <c r="C135" s="21" t="s">
        <v>324</v>
      </c>
      <c r="D135" s="22">
        <v>1</v>
      </c>
      <c r="E135" s="23" t="s">
        <v>740</v>
      </c>
      <c r="F135" s="17"/>
      <c r="G135" s="24">
        <v>2123</v>
      </c>
      <c r="H135" s="17"/>
      <c r="I135" s="17"/>
      <c r="J135" s="25">
        <v>157</v>
      </c>
      <c r="K135" s="176" t="s">
        <v>22</v>
      </c>
      <c r="L135" s="176" t="s">
        <v>44</v>
      </c>
      <c r="M135" s="177" t="s">
        <v>567</v>
      </c>
      <c r="N135" s="190" t="s">
        <v>49</v>
      </c>
      <c r="O135" s="176" t="s">
        <v>756</v>
      </c>
      <c r="P135" s="149">
        <v>114285.71</v>
      </c>
      <c r="Q135" s="178" t="s">
        <v>25</v>
      </c>
      <c r="R135" s="178" t="s">
        <v>759</v>
      </c>
      <c r="S135" s="177">
        <v>2036</v>
      </c>
      <c r="T135" s="179">
        <v>50040</v>
      </c>
      <c r="U135" s="180">
        <v>1</v>
      </c>
      <c r="V135" s="180"/>
      <c r="W135" s="181">
        <f t="shared" si="42"/>
        <v>1</v>
      </c>
      <c r="X135" s="180"/>
      <c r="Y135" s="180"/>
      <c r="Z135" s="180"/>
      <c r="AA135" s="182">
        <v>0.19800000000000001</v>
      </c>
      <c r="AB135" s="180"/>
      <c r="AC135" s="113">
        <f t="shared" si="52"/>
        <v>105000</v>
      </c>
      <c r="AD135" s="179"/>
      <c r="AE135" s="183">
        <f t="shared" si="43"/>
        <v>0.11428571000000001</v>
      </c>
      <c r="AF135" s="182">
        <f t="shared" si="44"/>
        <v>2.7908598290598292E-3</v>
      </c>
      <c r="AG135" s="184">
        <f t="shared" si="45"/>
        <v>13.9755</v>
      </c>
      <c r="AH135" s="183">
        <v>133.1</v>
      </c>
      <c r="AI135" s="183">
        <v>210</v>
      </c>
      <c r="AJ135" s="183">
        <v>500</v>
      </c>
      <c r="AK135" s="183">
        <v>390</v>
      </c>
      <c r="AL135" s="184">
        <f t="shared" si="46"/>
        <v>40.950000000000003</v>
      </c>
      <c r="AM135" s="184">
        <f t="shared" si="47"/>
        <v>40.950000000000003</v>
      </c>
      <c r="AN135" s="151">
        <f t="shared" si="48"/>
        <v>81900</v>
      </c>
      <c r="AO135" s="151">
        <f t="shared" si="49"/>
        <v>27951</v>
      </c>
      <c r="AP135" s="152">
        <f t="shared" si="50"/>
        <v>1</v>
      </c>
      <c r="AQ135" s="153">
        <f t="shared" si="51"/>
        <v>2.9063607383990511</v>
      </c>
      <c r="AR135" s="185" t="s">
        <v>783</v>
      </c>
    </row>
    <row r="136" spans="1:123" s="120" customFormat="1">
      <c r="A136" s="247" t="s">
        <v>428</v>
      </c>
      <c r="B136" s="103" t="s">
        <v>214</v>
      </c>
      <c r="C136" s="104" t="s">
        <v>327</v>
      </c>
      <c r="D136" s="33">
        <v>1</v>
      </c>
      <c r="E136" s="34" t="s">
        <v>740</v>
      </c>
      <c r="F136" s="35"/>
      <c r="G136" s="36" t="s">
        <v>753</v>
      </c>
      <c r="H136" s="35"/>
      <c r="I136" s="35"/>
      <c r="J136" s="37">
        <v>170</v>
      </c>
      <c r="K136" s="105" t="s">
        <v>53</v>
      </c>
      <c r="L136" s="105" t="s">
        <v>54</v>
      </c>
      <c r="M136" s="106" t="s">
        <v>568</v>
      </c>
      <c r="N136" s="154" t="s">
        <v>64</v>
      </c>
      <c r="O136" s="105" t="s">
        <v>756</v>
      </c>
      <c r="P136" s="107">
        <v>2781250</v>
      </c>
      <c r="Q136" s="108" t="s">
        <v>25</v>
      </c>
      <c r="R136" s="108" t="s">
        <v>26</v>
      </c>
      <c r="S136" s="106">
        <v>2036</v>
      </c>
      <c r="T136" s="109">
        <v>50040</v>
      </c>
      <c r="U136" s="110">
        <v>0.36959999999999998</v>
      </c>
      <c r="V136" s="110"/>
      <c r="W136" s="111">
        <f t="shared" si="42"/>
        <v>0.36959999999999998</v>
      </c>
      <c r="X136" s="110"/>
      <c r="Y136" s="110"/>
      <c r="Z136" s="110"/>
      <c r="AA136" s="112">
        <v>0.19800000000000001</v>
      </c>
      <c r="AB136" s="110">
        <v>0.63040000000000007</v>
      </c>
      <c r="AC136" s="113">
        <f t="shared" si="52"/>
        <v>202400</v>
      </c>
      <c r="AD136" s="109"/>
      <c r="AE136" s="114">
        <f t="shared" si="43"/>
        <v>2.78125</v>
      </c>
      <c r="AF136" s="112">
        <f t="shared" si="44"/>
        <v>2.4984279554437657E-2</v>
      </c>
      <c r="AG136" s="115">
        <f t="shared" si="45"/>
        <v>25.9072</v>
      </c>
      <c r="AH136" s="114">
        <v>128</v>
      </c>
      <c r="AI136" s="114">
        <v>275</v>
      </c>
      <c r="AJ136" s="114">
        <v>736</v>
      </c>
      <c r="AK136" s="114">
        <v>550</v>
      </c>
      <c r="AL136" s="115">
        <f t="shared" si="46"/>
        <v>111.32</v>
      </c>
      <c r="AM136" s="115">
        <f t="shared" si="47"/>
        <v>41.143871999999995</v>
      </c>
      <c r="AN136" s="116">
        <f t="shared" si="48"/>
        <v>151250</v>
      </c>
      <c r="AO136" s="116">
        <f t="shared" si="49"/>
        <v>35200</v>
      </c>
      <c r="AP136" s="117">
        <f t="shared" si="50"/>
        <v>1</v>
      </c>
      <c r="AQ136" s="118">
        <f t="shared" si="51"/>
        <v>3.8803072316559448</v>
      </c>
      <c r="AR136" s="119" t="s">
        <v>783</v>
      </c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</row>
    <row r="137" spans="1:123">
      <c r="A137" s="248" t="s">
        <v>508</v>
      </c>
      <c r="B137" s="19" t="s">
        <v>285</v>
      </c>
      <c r="C137" s="21" t="s">
        <v>343</v>
      </c>
      <c r="D137" s="22">
        <v>1</v>
      </c>
      <c r="E137" s="23" t="s">
        <v>740</v>
      </c>
      <c r="F137" s="17"/>
      <c r="G137" s="24">
        <v>2106</v>
      </c>
      <c r="H137" s="17"/>
      <c r="I137" s="17"/>
      <c r="J137" s="25">
        <v>330</v>
      </c>
      <c r="K137" s="176" t="s">
        <v>159</v>
      </c>
      <c r="L137" s="190" t="s">
        <v>160</v>
      </c>
      <c r="M137" s="187" t="s">
        <v>576</v>
      </c>
      <c r="N137" s="190" t="s">
        <v>48</v>
      </c>
      <c r="O137" s="176" t="s">
        <v>756</v>
      </c>
      <c r="P137" s="149">
        <v>1436252.3</v>
      </c>
      <c r="Q137" s="178" t="s">
        <v>25</v>
      </c>
      <c r="R137" s="178" t="s">
        <v>26</v>
      </c>
      <c r="S137" s="177">
        <v>2037</v>
      </c>
      <c r="T137" s="179">
        <v>50221</v>
      </c>
      <c r="U137" s="180">
        <v>0.7</v>
      </c>
      <c r="V137" s="180">
        <v>0.30000000000000004</v>
      </c>
      <c r="W137" s="181">
        <f t="shared" si="42"/>
        <v>1</v>
      </c>
      <c r="X137" s="180">
        <v>0.05</v>
      </c>
      <c r="Y137" s="180">
        <v>9.0000000000000011E-2</v>
      </c>
      <c r="Z137" s="180">
        <v>6.8000000000000005E-2</v>
      </c>
      <c r="AA137" s="182">
        <v>0.19800000000000001</v>
      </c>
      <c r="AB137" s="180"/>
      <c r="AC137" s="113">
        <f t="shared" si="52"/>
        <v>232066.42500000002</v>
      </c>
      <c r="AD137" s="179"/>
      <c r="AE137" s="183">
        <f t="shared" si="43"/>
        <v>1.4362523</v>
      </c>
      <c r="AF137" s="182">
        <f t="shared" si="44"/>
        <v>1.2377941358815689E-2</v>
      </c>
      <c r="AG137" s="184">
        <f t="shared" si="45"/>
        <v>37.130628000000009</v>
      </c>
      <c r="AH137" s="183">
        <v>160</v>
      </c>
      <c r="AI137" s="183">
        <v>270.15881839348083</v>
      </c>
      <c r="AJ137" s="183">
        <v>859</v>
      </c>
      <c r="AK137" s="183">
        <v>500.00000000000006</v>
      </c>
      <c r="AL137" s="184">
        <f t="shared" si="46"/>
        <v>116.03321250000003</v>
      </c>
      <c r="AM137" s="184">
        <f t="shared" si="47"/>
        <v>81.223248750000025</v>
      </c>
      <c r="AN137" s="151">
        <f t="shared" si="48"/>
        <v>135079.40919674042</v>
      </c>
      <c r="AO137" s="151">
        <f t="shared" si="49"/>
        <v>43225.410942956936</v>
      </c>
      <c r="AP137" s="152">
        <f t="shared" si="50"/>
        <v>0.7</v>
      </c>
      <c r="AQ137" s="153">
        <f t="shared" si="51"/>
        <v>2.1060362704525004</v>
      </c>
      <c r="AR137" s="185" t="s">
        <v>783</v>
      </c>
    </row>
    <row r="138" spans="1:123" s="120" customFormat="1">
      <c r="A138" s="247" t="s">
        <v>428</v>
      </c>
      <c r="B138" s="103" t="s">
        <v>215</v>
      </c>
      <c r="C138" s="104" t="s">
        <v>327</v>
      </c>
      <c r="D138" s="33">
        <v>1</v>
      </c>
      <c r="E138" s="34" t="s">
        <v>740</v>
      </c>
      <c r="F138" s="35"/>
      <c r="G138" s="36" t="s">
        <v>753</v>
      </c>
      <c r="H138" s="35"/>
      <c r="I138" s="35"/>
      <c r="J138" s="37">
        <v>171</v>
      </c>
      <c r="K138" s="105" t="s">
        <v>53</v>
      </c>
      <c r="L138" s="105" t="s">
        <v>54</v>
      </c>
      <c r="M138" s="106" t="s">
        <v>568</v>
      </c>
      <c r="N138" s="154" t="s">
        <v>65</v>
      </c>
      <c r="O138" s="105" t="s">
        <v>756</v>
      </c>
      <c r="P138" s="107">
        <v>2781250</v>
      </c>
      <c r="Q138" s="108" t="s">
        <v>25</v>
      </c>
      <c r="R138" s="108" t="s">
        <v>26</v>
      </c>
      <c r="S138" s="106">
        <v>2037</v>
      </c>
      <c r="T138" s="109">
        <v>50405</v>
      </c>
      <c r="U138" s="110">
        <v>0.36959999999999998</v>
      </c>
      <c r="V138" s="110"/>
      <c r="W138" s="111">
        <f t="shared" si="42"/>
        <v>0.36959999999999998</v>
      </c>
      <c r="X138" s="110"/>
      <c r="Y138" s="110"/>
      <c r="Z138" s="110"/>
      <c r="AA138" s="112">
        <v>0.19800000000000001</v>
      </c>
      <c r="AB138" s="110">
        <v>0.63040000000000007</v>
      </c>
      <c r="AC138" s="113">
        <f t="shared" si="52"/>
        <v>202400</v>
      </c>
      <c r="AD138" s="109"/>
      <c r="AE138" s="114">
        <f t="shared" si="43"/>
        <v>2.78125</v>
      </c>
      <c r="AF138" s="112">
        <f t="shared" si="44"/>
        <v>2.4984279554437657E-2</v>
      </c>
      <c r="AG138" s="115">
        <f t="shared" si="45"/>
        <v>25.9072</v>
      </c>
      <c r="AH138" s="114">
        <v>128</v>
      </c>
      <c r="AI138" s="114">
        <v>275</v>
      </c>
      <c r="AJ138" s="114">
        <v>736</v>
      </c>
      <c r="AK138" s="114">
        <v>550</v>
      </c>
      <c r="AL138" s="115">
        <f t="shared" si="46"/>
        <v>111.32</v>
      </c>
      <c r="AM138" s="115">
        <f t="shared" si="47"/>
        <v>41.143871999999995</v>
      </c>
      <c r="AN138" s="116">
        <f t="shared" si="48"/>
        <v>151250</v>
      </c>
      <c r="AO138" s="116">
        <f t="shared" si="49"/>
        <v>35200</v>
      </c>
      <c r="AP138" s="117">
        <f t="shared" si="50"/>
        <v>1</v>
      </c>
      <c r="AQ138" s="118">
        <f t="shared" si="51"/>
        <v>3.8803072316559448</v>
      </c>
      <c r="AR138" s="119" t="s">
        <v>783</v>
      </c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</row>
    <row r="139" spans="1:123">
      <c r="A139" s="248" t="s">
        <v>426</v>
      </c>
      <c r="B139" s="19" t="s">
        <v>202</v>
      </c>
      <c r="C139" s="21" t="s">
        <v>324</v>
      </c>
      <c r="D139" s="22">
        <v>1</v>
      </c>
      <c r="E139" s="23" t="s">
        <v>740</v>
      </c>
      <c r="F139" s="17"/>
      <c r="G139" s="24">
        <v>2123</v>
      </c>
      <c r="H139" s="17"/>
      <c r="I139" s="17"/>
      <c r="J139" s="25">
        <v>158</v>
      </c>
      <c r="K139" s="176" t="s">
        <v>22</v>
      </c>
      <c r="L139" s="176" t="s">
        <v>44</v>
      </c>
      <c r="M139" s="177" t="s">
        <v>567</v>
      </c>
      <c r="N139" s="190" t="s">
        <v>50</v>
      </c>
      <c r="O139" s="176" t="s">
        <v>756</v>
      </c>
      <c r="P139" s="149">
        <v>114285.71</v>
      </c>
      <c r="Q139" s="178" t="s">
        <v>25</v>
      </c>
      <c r="R139" s="178" t="s">
        <v>759</v>
      </c>
      <c r="S139" s="177">
        <v>2038</v>
      </c>
      <c r="T139" s="179">
        <v>50770</v>
      </c>
      <c r="U139" s="180">
        <v>1</v>
      </c>
      <c r="V139" s="180"/>
      <c r="W139" s="181">
        <f t="shared" si="42"/>
        <v>1</v>
      </c>
      <c r="X139" s="180"/>
      <c r="Y139" s="180"/>
      <c r="Z139" s="180"/>
      <c r="AA139" s="182">
        <v>0.19800000000000001</v>
      </c>
      <c r="AB139" s="180"/>
      <c r="AC139" s="113">
        <f t="shared" si="52"/>
        <v>105000</v>
      </c>
      <c r="AD139" s="179"/>
      <c r="AE139" s="183">
        <f t="shared" si="43"/>
        <v>0.11428571000000001</v>
      </c>
      <c r="AF139" s="182">
        <f t="shared" si="44"/>
        <v>2.7908598290598292E-3</v>
      </c>
      <c r="AG139" s="184">
        <f t="shared" si="45"/>
        <v>13.9755</v>
      </c>
      <c r="AH139" s="183">
        <v>133.1</v>
      </c>
      <c r="AI139" s="183">
        <v>210</v>
      </c>
      <c r="AJ139" s="183">
        <v>500</v>
      </c>
      <c r="AK139" s="183">
        <v>390</v>
      </c>
      <c r="AL139" s="184">
        <f t="shared" si="46"/>
        <v>40.950000000000003</v>
      </c>
      <c r="AM139" s="184">
        <f t="shared" si="47"/>
        <v>40.950000000000003</v>
      </c>
      <c r="AN139" s="151">
        <f t="shared" si="48"/>
        <v>81900</v>
      </c>
      <c r="AO139" s="151">
        <f t="shared" si="49"/>
        <v>27951</v>
      </c>
      <c r="AP139" s="152">
        <f t="shared" si="50"/>
        <v>1</v>
      </c>
      <c r="AQ139" s="153">
        <f t="shared" si="51"/>
        <v>2.9063607383990511</v>
      </c>
      <c r="AR139" s="185" t="s">
        <v>783</v>
      </c>
    </row>
    <row r="140" spans="1:123" s="129" customFormat="1">
      <c r="A140" s="247" t="s">
        <v>428</v>
      </c>
      <c r="B140" s="103" t="s">
        <v>216</v>
      </c>
      <c r="C140" s="104" t="s">
        <v>327</v>
      </c>
      <c r="D140" s="33">
        <v>1</v>
      </c>
      <c r="E140" s="34" t="s">
        <v>740</v>
      </c>
      <c r="F140" s="35"/>
      <c r="G140" s="36" t="s">
        <v>753</v>
      </c>
      <c r="H140" s="35"/>
      <c r="I140" s="35"/>
      <c r="J140" s="37">
        <v>172</v>
      </c>
      <c r="K140" s="105" t="s">
        <v>53</v>
      </c>
      <c r="L140" s="105" t="s">
        <v>54</v>
      </c>
      <c r="M140" s="106" t="s">
        <v>568</v>
      </c>
      <c r="N140" s="154" t="s">
        <v>66</v>
      </c>
      <c r="O140" s="105" t="s">
        <v>756</v>
      </c>
      <c r="P140" s="107">
        <v>2781250</v>
      </c>
      <c r="Q140" s="108" t="s">
        <v>25</v>
      </c>
      <c r="R140" s="108" t="s">
        <v>26</v>
      </c>
      <c r="S140" s="106">
        <v>2038</v>
      </c>
      <c r="T140" s="109">
        <v>50770</v>
      </c>
      <c r="U140" s="110">
        <v>0.36959999999999998</v>
      </c>
      <c r="V140" s="110"/>
      <c r="W140" s="111">
        <f t="shared" si="42"/>
        <v>0.36959999999999998</v>
      </c>
      <c r="X140" s="110"/>
      <c r="Y140" s="110"/>
      <c r="Z140" s="110"/>
      <c r="AA140" s="112">
        <v>0.19800000000000001</v>
      </c>
      <c r="AB140" s="110">
        <v>0.63040000000000007</v>
      </c>
      <c r="AC140" s="113">
        <f t="shared" si="52"/>
        <v>202400</v>
      </c>
      <c r="AD140" s="109"/>
      <c r="AE140" s="114">
        <f t="shared" si="43"/>
        <v>2.78125</v>
      </c>
      <c r="AF140" s="112">
        <f t="shared" si="44"/>
        <v>2.4984279554437657E-2</v>
      </c>
      <c r="AG140" s="115">
        <f t="shared" si="45"/>
        <v>25.9072</v>
      </c>
      <c r="AH140" s="114">
        <v>128</v>
      </c>
      <c r="AI140" s="114">
        <v>275</v>
      </c>
      <c r="AJ140" s="114">
        <v>736</v>
      </c>
      <c r="AK140" s="114">
        <v>550</v>
      </c>
      <c r="AL140" s="115">
        <f t="shared" si="46"/>
        <v>111.32</v>
      </c>
      <c r="AM140" s="115">
        <f t="shared" si="47"/>
        <v>41.143871999999995</v>
      </c>
      <c r="AN140" s="116">
        <f t="shared" si="48"/>
        <v>151250</v>
      </c>
      <c r="AO140" s="116">
        <f t="shared" si="49"/>
        <v>35200</v>
      </c>
      <c r="AP140" s="117">
        <f t="shared" si="50"/>
        <v>1</v>
      </c>
      <c r="AQ140" s="118">
        <f t="shared" si="51"/>
        <v>3.8803072316559448</v>
      </c>
      <c r="AR140" s="119" t="s">
        <v>783</v>
      </c>
      <c r="AS140" s="191"/>
      <c r="AT140" s="191"/>
      <c r="AU140" s="191"/>
      <c r="AV140" s="191"/>
      <c r="AW140" s="191"/>
      <c r="AX140" s="191"/>
      <c r="AY140" s="191"/>
      <c r="AZ140" s="191"/>
      <c r="BA140" s="191"/>
      <c r="BB140" s="191"/>
      <c r="BC140" s="191"/>
      <c r="BD140" s="191"/>
      <c r="BE140" s="191"/>
      <c r="BF140" s="191"/>
      <c r="BG140" s="191"/>
      <c r="BH140" s="191"/>
      <c r="BI140" s="191"/>
      <c r="BJ140" s="191"/>
      <c r="BK140" s="191"/>
      <c r="BL140" s="191"/>
      <c r="BM140" s="191"/>
      <c r="BN140" s="191"/>
      <c r="BO140" s="191"/>
      <c r="BP140" s="191"/>
      <c r="BQ140" s="191"/>
      <c r="BR140" s="191"/>
      <c r="BS140" s="191"/>
      <c r="BT140" s="191"/>
      <c r="BU140" s="191"/>
      <c r="BV140" s="191"/>
      <c r="BW140" s="191"/>
      <c r="BX140" s="191"/>
      <c r="BY140" s="191"/>
      <c r="BZ140" s="191"/>
      <c r="CA140" s="191"/>
      <c r="CB140" s="191"/>
      <c r="CC140" s="191"/>
      <c r="CD140" s="191"/>
      <c r="CE140" s="191"/>
      <c r="CF140" s="191"/>
      <c r="CG140" s="191"/>
      <c r="CH140" s="191"/>
      <c r="CI140" s="191"/>
      <c r="CJ140" s="191"/>
      <c r="CK140" s="191"/>
      <c r="CL140" s="191"/>
      <c r="CM140" s="191"/>
      <c r="CN140" s="191"/>
      <c r="CO140" s="191"/>
      <c r="CP140" s="191"/>
      <c r="CQ140" s="191"/>
      <c r="CR140" s="191"/>
      <c r="CS140" s="191"/>
      <c r="CT140" s="191"/>
      <c r="CU140" s="191"/>
      <c r="CV140" s="191"/>
      <c r="CW140" s="191"/>
      <c r="CX140" s="191"/>
      <c r="CY140" s="191"/>
      <c r="CZ140" s="191"/>
      <c r="DA140" s="191"/>
      <c r="DB140" s="191"/>
      <c r="DC140" s="191"/>
      <c r="DD140" s="191"/>
      <c r="DE140" s="191"/>
      <c r="DF140" s="191"/>
      <c r="DG140" s="191"/>
      <c r="DH140" s="191"/>
      <c r="DI140" s="191"/>
      <c r="DJ140" s="191"/>
      <c r="DK140" s="191"/>
      <c r="DL140" s="191"/>
      <c r="DM140" s="191"/>
      <c r="DN140" s="191"/>
      <c r="DO140" s="191"/>
      <c r="DP140" s="191"/>
      <c r="DQ140" s="191"/>
      <c r="DR140" s="191"/>
      <c r="DS140" s="191"/>
    </row>
    <row r="141" spans="1:123">
      <c r="A141" s="248" t="s">
        <v>508</v>
      </c>
      <c r="B141" s="19" t="s">
        <v>286</v>
      </c>
      <c r="C141" s="21" t="s">
        <v>343</v>
      </c>
      <c r="D141" s="22">
        <v>1</v>
      </c>
      <c r="E141" s="23" t="s">
        <v>740</v>
      </c>
      <c r="F141" s="17"/>
      <c r="G141" s="24">
        <v>2106</v>
      </c>
      <c r="H141" s="17"/>
      <c r="I141" s="17"/>
      <c r="J141" s="25">
        <v>331</v>
      </c>
      <c r="K141" s="176" t="s">
        <v>159</v>
      </c>
      <c r="L141" s="190" t="s">
        <v>160</v>
      </c>
      <c r="M141" s="187" t="s">
        <v>576</v>
      </c>
      <c r="N141" s="190" t="s">
        <v>49</v>
      </c>
      <c r="O141" s="176" t="s">
        <v>756</v>
      </c>
      <c r="P141" s="149">
        <v>1436252.3</v>
      </c>
      <c r="Q141" s="178" t="s">
        <v>25</v>
      </c>
      <c r="R141" s="178" t="s">
        <v>26</v>
      </c>
      <c r="S141" s="177">
        <v>2039</v>
      </c>
      <c r="T141" s="179">
        <v>50951</v>
      </c>
      <c r="U141" s="180">
        <v>0.7</v>
      </c>
      <c r="V141" s="180">
        <v>0.30000000000000004</v>
      </c>
      <c r="W141" s="181">
        <f t="shared" si="42"/>
        <v>1</v>
      </c>
      <c r="X141" s="180">
        <v>0.05</v>
      </c>
      <c r="Y141" s="180">
        <v>9.0000000000000011E-2</v>
      </c>
      <c r="Z141" s="180">
        <v>6.8000000000000005E-2</v>
      </c>
      <c r="AA141" s="182">
        <v>0.19800000000000001</v>
      </c>
      <c r="AB141" s="180"/>
      <c r="AC141" s="113">
        <f t="shared" si="52"/>
        <v>232066.42500000002</v>
      </c>
      <c r="AD141" s="179"/>
      <c r="AE141" s="183">
        <f t="shared" si="43"/>
        <v>1.4362523</v>
      </c>
      <c r="AF141" s="182">
        <f t="shared" si="44"/>
        <v>1.2377941358815689E-2</v>
      </c>
      <c r="AG141" s="184">
        <f t="shared" si="45"/>
        <v>37.130628000000009</v>
      </c>
      <c r="AH141" s="183">
        <v>160</v>
      </c>
      <c r="AI141" s="183">
        <v>270.15881839348083</v>
      </c>
      <c r="AJ141" s="183">
        <v>859</v>
      </c>
      <c r="AK141" s="183">
        <v>500.00000000000006</v>
      </c>
      <c r="AL141" s="184">
        <f t="shared" si="46"/>
        <v>116.03321250000003</v>
      </c>
      <c r="AM141" s="184">
        <f t="shared" si="47"/>
        <v>81.223248750000025</v>
      </c>
      <c r="AN141" s="151">
        <f t="shared" si="48"/>
        <v>135079.40919674042</v>
      </c>
      <c r="AO141" s="151">
        <f t="shared" si="49"/>
        <v>43225.410942956936</v>
      </c>
      <c r="AP141" s="152">
        <f t="shared" si="50"/>
        <v>0.7</v>
      </c>
      <c r="AQ141" s="153">
        <f t="shared" si="51"/>
        <v>2.1060362704525004</v>
      </c>
      <c r="AR141" s="185" t="s">
        <v>783</v>
      </c>
    </row>
    <row r="142" spans="1:123" s="120" customFormat="1">
      <c r="A142" s="247" t="s">
        <v>428</v>
      </c>
      <c r="B142" s="103" t="s">
        <v>217</v>
      </c>
      <c r="C142" s="104" t="s">
        <v>327</v>
      </c>
      <c r="D142" s="33">
        <v>1</v>
      </c>
      <c r="E142" s="34" t="s">
        <v>740</v>
      </c>
      <c r="F142" s="35"/>
      <c r="G142" s="36" t="s">
        <v>753</v>
      </c>
      <c r="H142" s="35"/>
      <c r="I142" s="35"/>
      <c r="J142" s="37">
        <v>173</v>
      </c>
      <c r="K142" s="105" t="s">
        <v>53</v>
      </c>
      <c r="L142" s="105" t="s">
        <v>54</v>
      </c>
      <c r="M142" s="106" t="s">
        <v>568</v>
      </c>
      <c r="N142" s="154" t="s">
        <v>67</v>
      </c>
      <c r="O142" s="105" t="s">
        <v>756</v>
      </c>
      <c r="P142" s="107">
        <v>2781250</v>
      </c>
      <c r="Q142" s="108" t="s">
        <v>25</v>
      </c>
      <c r="R142" s="108" t="s">
        <v>26</v>
      </c>
      <c r="S142" s="106">
        <v>2039</v>
      </c>
      <c r="T142" s="109">
        <v>51135</v>
      </c>
      <c r="U142" s="110">
        <v>0.36959999999999998</v>
      </c>
      <c r="V142" s="110"/>
      <c r="W142" s="111">
        <f t="shared" si="42"/>
        <v>0.36959999999999998</v>
      </c>
      <c r="X142" s="110"/>
      <c r="Y142" s="110"/>
      <c r="Z142" s="110"/>
      <c r="AA142" s="112">
        <v>0.19800000000000001</v>
      </c>
      <c r="AB142" s="110">
        <v>0.63040000000000007</v>
      </c>
      <c r="AC142" s="113">
        <f t="shared" si="52"/>
        <v>202400</v>
      </c>
      <c r="AD142" s="109"/>
      <c r="AE142" s="114">
        <f t="shared" si="43"/>
        <v>2.78125</v>
      </c>
      <c r="AF142" s="112">
        <f t="shared" si="44"/>
        <v>2.4984279554437657E-2</v>
      </c>
      <c r="AG142" s="115">
        <f t="shared" si="45"/>
        <v>25.9072</v>
      </c>
      <c r="AH142" s="114">
        <v>128</v>
      </c>
      <c r="AI142" s="114">
        <v>275</v>
      </c>
      <c r="AJ142" s="114">
        <v>736</v>
      </c>
      <c r="AK142" s="114">
        <v>550</v>
      </c>
      <c r="AL142" s="115">
        <f t="shared" si="46"/>
        <v>111.32</v>
      </c>
      <c r="AM142" s="115">
        <f t="shared" si="47"/>
        <v>41.143871999999995</v>
      </c>
      <c r="AN142" s="116">
        <f t="shared" si="48"/>
        <v>151250</v>
      </c>
      <c r="AO142" s="116">
        <f t="shared" si="49"/>
        <v>35200</v>
      </c>
      <c r="AP142" s="117">
        <f t="shared" si="50"/>
        <v>1</v>
      </c>
      <c r="AQ142" s="118">
        <f t="shared" si="51"/>
        <v>3.8803072316559448</v>
      </c>
      <c r="AR142" s="119" t="s">
        <v>783</v>
      </c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</row>
    <row r="143" spans="1:123">
      <c r="A143" s="248" t="s">
        <v>426</v>
      </c>
      <c r="B143" s="19" t="s">
        <v>203</v>
      </c>
      <c r="C143" s="21" t="s">
        <v>324</v>
      </c>
      <c r="D143" s="22">
        <v>1</v>
      </c>
      <c r="E143" s="23" t="s">
        <v>740</v>
      </c>
      <c r="F143" s="17"/>
      <c r="G143" s="24">
        <v>2123</v>
      </c>
      <c r="H143" s="17"/>
      <c r="I143" s="17"/>
      <c r="J143" s="25">
        <v>159</v>
      </c>
      <c r="K143" s="176" t="s">
        <v>22</v>
      </c>
      <c r="L143" s="176" t="s">
        <v>44</v>
      </c>
      <c r="M143" s="177" t="s">
        <v>567</v>
      </c>
      <c r="N143" s="190" t="s">
        <v>51</v>
      </c>
      <c r="O143" s="176" t="s">
        <v>756</v>
      </c>
      <c r="P143" s="149">
        <v>114285.71</v>
      </c>
      <c r="Q143" s="178" t="s">
        <v>25</v>
      </c>
      <c r="R143" s="178" t="s">
        <v>759</v>
      </c>
      <c r="S143" s="177">
        <v>2040</v>
      </c>
      <c r="T143" s="179">
        <v>51501</v>
      </c>
      <c r="U143" s="180">
        <v>1</v>
      </c>
      <c r="V143" s="180"/>
      <c r="W143" s="181">
        <f t="shared" si="42"/>
        <v>1</v>
      </c>
      <c r="X143" s="180"/>
      <c r="Y143" s="180"/>
      <c r="Z143" s="180"/>
      <c r="AA143" s="182">
        <v>0.19800000000000001</v>
      </c>
      <c r="AB143" s="180"/>
      <c r="AC143" s="113">
        <f t="shared" si="52"/>
        <v>105000</v>
      </c>
      <c r="AD143" s="179"/>
      <c r="AE143" s="183">
        <f t="shared" si="43"/>
        <v>0.11428571000000001</v>
      </c>
      <c r="AF143" s="182">
        <f t="shared" si="44"/>
        <v>2.7908598290598292E-3</v>
      </c>
      <c r="AG143" s="184">
        <f t="shared" si="45"/>
        <v>13.9755</v>
      </c>
      <c r="AH143" s="183">
        <v>133.1</v>
      </c>
      <c r="AI143" s="183">
        <v>210</v>
      </c>
      <c r="AJ143" s="183">
        <v>500</v>
      </c>
      <c r="AK143" s="183">
        <v>390</v>
      </c>
      <c r="AL143" s="184">
        <f t="shared" si="46"/>
        <v>40.950000000000003</v>
      </c>
      <c r="AM143" s="184">
        <f t="shared" si="47"/>
        <v>40.950000000000003</v>
      </c>
      <c r="AN143" s="151">
        <f t="shared" si="48"/>
        <v>81900</v>
      </c>
      <c r="AO143" s="151">
        <f t="shared" si="49"/>
        <v>27951</v>
      </c>
      <c r="AP143" s="152">
        <f t="shared" si="50"/>
        <v>1</v>
      </c>
      <c r="AQ143" s="153">
        <f t="shared" si="51"/>
        <v>2.9063607383990511</v>
      </c>
      <c r="AR143" s="185" t="s">
        <v>783</v>
      </c>
    </row>
    <row r="144" spans="1:123" s="120" customFormat="1">
      <c r="A144" s="247" t="s">
        <v>428</v>
      </c>
      <c r="B144" s="103" t="s">
        <v>632</v>
      </c>
      <c r="C144" s="104" t="s">
        <v>327</v>
      </c>
      <c r="D144" s="33">
        <v>1</v>
      </c>
      <c r="E144" s="34" t="s">
        <v>740</v>
      </c>
      <c r="F144" s="35"/>
      <c r="G144" s="36" t="s">
        <v>753</v>
      </c>
      <c r="H144" s="35"/>
      <c r="I144" s="35"/>
      <c r="J144" s="37">
        <v>174</v>
      </c>
      <c r="K144" s="105" t="s">
        <v>53</v>
      </c>
      <c r="L144" s="105" t="s">
        <v>54</v>
      </c>
      <c r="M144" s="106" t="s">
        <v>568</v>
      </c>
      <c r="N144" s="154" t="s">
        <v>68</v>
      </c>
      <c r="O144" s="105" t="s">
        <v>756</v>
      </c>
      <c r="P144" s="107">
        <v>2781250</v>
      </c>
      <c r="Q144" s="108" t="s">
        <v>25</v>
      </c>
      <c r="R144" s="108" t="s">
        <v>26</v>
      </c>
      <c r="S144" s="106">
        <v>2040</v>
      </c>
      <c r="T144" s="109">
        <v>51501</v>
      </c>
      <c r="U144" s="110">
        <v>0.36959999999999998</v>
      </c>
      <c r="V144" s="110"/>
      <c r="W144" s="111">
        <f t="shared" si="42"/>
        <v>0.36959999999999998</v>
      </c>
      <c r="X144" s="110"/>
      <c r="Y144" s="110"/>
      <c r="Z144" s="110"/>
      <c r="AA144" s="112">
        <v>0.19800000000000001</v>
      </c>
      <c r="AB144" s="110">
        <v>0.63040000000000007</v>
      </c>
      <c r="AC144" s="113">
        <f t="shared" si="52"/>
        <v>202400</v>
      </c>
      <c r="AD144" s="109"/>
      <c r="AE144" s="114">
        <f t="shared" si="43"/>
        <v>2.78125</v>
      </c>
      <c r="AF144" s="112">
        <f t="shared" si="44"/>
        <v>2.4984279554437657E-2</v>
      </c>
      <c r="AG144" s="115">
        <f t="shared" si="45"/>
        <v>25.9072</v>
      </c>
      <c r="AH144" s="114">
        <v>128</v>
      </c>
      <c r="AI144" s="114">
        <v>275</v>
      </c>
      <c r="AJ144" s="114">
        <v>736</v>
      </c>
      <c r="AK144" s="114">
        <v>550</v>
      </c>
      <c r="AL144" s="115">
        <f t="shared" si="46"/>
        <v>111.32</v>
      </c>
      <c r="AM144" s="115">
        <f t="shared" si="47"/>
        <v>41.143871999999995</v>
      </c>
      <c r="AN144" s="116">
        <f t="shared" si="48"/>
        <v>151250</v>
      </c>
      <c r="AO144" s="116">
        <f t="shared" si="49"/>
        <v>35200</v>
      </c>
      <c r="AP144" s="117">
        <f t="shared" si="50"/>
        <v>1</v>
      </c>
      <c r="AQ144" s="118">
        <f t="shared" si="51"/>
        <v>3.8803072316559448</v>
      </c>
      <c r="AR144" s="119" t="s">
        <v>783</v>
      </c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</row>
    <row r="145" spans="1:123">
      <c r="A145" s="248" t="s">
        <v>508</v>
      </c>
      <c r="B145" s="19" t="s">
        <v>287</v>
      </c>
      <c r="C145" s="21" t="s">
        <v>343</v>
      </c>
      <c r="D145" s="22">
        <v>1</v>
      </c>
      <c r="E145" s="23" t="s">
        <v>740</v>
      </c>
      <c r="F145" s="17"/>
      <c r="G145" s="24">
        <v>2106</v>
      </c>
      <c r="H145" s="17"/>
      <c r="I145" s="17"/>
      <c r="J145" s="25">
        <v>332</v>
      </c>
      <c r="K145" s="176" t="s">
        <v>159</v>
      </c>
      <c r="L145" s="190" t="s">
        <v>160</v>
      </c>
      <c r="M145" s="187" t="s">
        <v>576</v>
      </c>
      <c r="N145" s="190" t="s">
        <v>50</v>
      </c>
      <c r="O145" s="176" t="s">
        <v>756</v>
      </c>
      <c r="P145" s="149">
        <v>1436252.3</v>
      </c>
      <c r="Q145" s="178" t="s">
        <v>25</v>
      </c>
      <c r="R145" s="178" t="s">
        <v>26</v>
      </c>
      <c r="S145" s="177">
        <v>2041</v>
      </c>
      <c r="T145" s="179">
        <v>51682</v>
      </c>
      <c r="U145" s="180">
        <v>0.7</v>
      </c>
      <c r="V145" s="180">
        <v>0.30000000000000004</v>
      </c>
      <c r="W145" s="181">
        <f t="shared" si="42"/>
        <v>1</v>
      </c>
      <c r="X145" s="180">
        <v>0.05</v>
      </c>
      <c r="Y145" s="180">
        <v>9.0000000000000011E-2</v>
      </c>
      <c r="Z145" s="180">
        <v>6.8000000000000005E-2</v>
      </c>
      <c r="AA145" s="182">
        <v>0.19800000000000001</v>
      </c>
      <c r="AB145" s="180"/>
      <c r="AC145" s="113">
        <f t="shared" si="52"/>
        <v>232066.42500000002</v>
      </c>
      <c r="AD145" s="179"/>
      <c r="AE145" s="183">
        <f t="shared" si="43"/>
        <v>1.4362523</v>
      </c>
      <c r="AF145" s="182">
        <f t="shared" si="44"/>
        <v>1.2377941358815689E-2</v>
      </c>
      <c r="AG145" s="184">
        <f t="shared" si="45"/>
        <v>37.130628000000009</v>
      </c>
      <c r="AH145" s="183">
        <v>160</v>
      </c>
      <c r="AI145" s="183">
        <v>270.15881839348083</v>
      </c>
      <c r="AJ145" s="183">
        <v>859</v>
      </c>
      <c r="AK145" s="183">
        <v>500.00000000000006</v>
      </c>
      <c r="AL145" s="184">
        <f t="shared" si="46"/>
        <v>116.03321250000003</v>
      </c>
      <c r="AM145" s="184">
        <f t="shared" si="47"/>
        <v>81.223248750000025</v>
      </c>
      <c r="AN145" s="151">
        <f t="shared" si="48"/>
        <v>135079.40919674042</v>
      </c>
      <c r="AO145" s="151">
        <f t="shared" si="49"/>
        <v>43225.410942956936</v>
      </c>
      <c r="AP145" s="152">
        <f t="shared" si="50"/>
        <v>0.7</v>
      </c>
      <c r="AQ145" s="153">
        <f t="shared" si="51"/>
        <v>2.1060362704525004</v>
      </c>
      <c r="AR145" s="185" t="s">
        <v>783</v>
      </c>
    </row>
    <row r="146" spans="1:123" s="120" customFormat="1">
      <c r="A146" s="247" t="s">
        <v>428</v>
      </c>
      <c r="B146" s="103" t="s">
        <v>218</v>
      </c>
      <c r="C146" s="104" t="s">
        <v>327</v>
      </c>
      <c r="D146" s="33">
        <v>1</v>
      </c>
      <c r="E146" s="34" t="s">
        <v>740</v>
      </c>
      <c r="F146" s="35"/>
      <c r="G146" s="36" t="s">
        <v>753</v>
      </c>
      <c r="H146" s="35"/>
      <c r="I146" s="35"/>
      <c r="J146" s="37">
        <v>175</v>
      </c>
      <c r="K146" s="105" t="s">
        <v>53</v>
      </c>
      <c r="L146" s="105" t="s">
        <v>54</v>
      </c>
      <c r="M146" s="106" t="s">
        <v>568</v>
      </c>
      <c r="N146" s="154" t="s">
        <v>69</v>
      </c>
      <c r="O146" s="105" t="s">
        <v>756</v>
      </c>
      <c r="P146" s="107">
        <v>2781250</v>
      </c>
      <c r="Q146" s="108" t="s">
        <v>25</v>
      </c>
      <c r="R146" s="108" t="s">
        <v>26</v>
      </c>
      <c r="S146" s="106">
        <v>2041</v>
      </c>
      <c r="T146" s="109">
        <v>51866</v>
      </c>
      <c r="U146" s="110">
        <v>0.36959999999999998</v>
      </c>
      <c r="V146" s="110"/>
      <c r="W146" s="111">
        <f t="shared" si="42"/>
        <v>0.36959999999999998</v>
      </c>
      <c r="X146" s="110"/>
      <c r="Y146" s="110"/>
      <c r="Z146" s="110"/>
      <c r="AA146" s="112">
        <v>0.19800000000000001</v>
      </c>
      <c r="AB146" s="110">
        <v>0.63040000000000007</v>
      </c>
      <c r="AC146" s="113">
        <f t="shared" si="52"/>
        <v>202400</v>
      </c>
      <c r="AD146" s="109"/>
      <c r="AE146" s="114">
        <f t="shared" si="43"/>
        <v>2.78125</v>
      </c>
      <c r="AF146" s="112">
        <f t="shared" si="44"/>
        <v>2.4984279554437657E-2</v>
      </c>
      <c r="AG146" s="115">
        <f t="shared" si="45"/>
        <v>25.9072</v>
      </c>
      <c r="AH146" s="114">
        <v>128</v>
      </c>
      <c r="AI146" s="114">
        <v>275</v>
      </c>
      <c r="AJ146" s="114">
        <v>736</v>
      </c>
      <c r="AK146" s="114">
        <v>550</v>
      </c>
      <c r="AL146" s="115">
        <f t="shared" si="46"/>
        <v>111.32</v>
      </c>
      <c r="AM146" s="115">
        <f t="shared" si="47"/>
        <v>41.143871999999995</v>
      </c>
      <c r="AN146" s="116">
        <f t="shared" si="48"/>
        <v>151250</v>
      </c>
      <c r="AO146" s="116">
        <f t="shared" si="49"/>
        <v>35200</v>
      </c>
      <c r="AP146" s="117">
        <f t="shared" si="50"/>
        <v>1</v>
      </c>
      <c r="AQ146" s="118">
        <f t="shared" si="51"/>
        <v>3.8803072316559448</v>
      </c>
      <c r="AR146" s="119" t="s">
        <v>783</v>
      </c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</row>
    <row r="147" spans="1:123">
      <c r="A147" s="248" t="s">
        <v>428</v>
      </c>
      <c r="B147" s="19" t="s">
        <v>219</v>
      </c>
      <c r="C147" s="21" t="s">
        <v>327</v>
      </c>
      <c r="D147" s="22">
        <v>1</v>
      </c>
      <c r="E147" s="23" t="s">
        <v>740</v>
      </c>
      <c r="F147" s="17"/>
      <c r="G147" s="24" t="s">
        <v>753</v>
      </c>
      <c r="H147" s="17"/>
      <c r="I147" s="17"/>
      <c r="J147" s="25">
        <v>176</v>
      </c>
      <c r="K147" s="176" t="s">
        <v>53</v>
      </c>
      <c r="L147" s="176" t="s">
        <v>54</v>
      </c>
      <c r="M147" s="177" t="s">
        <v>568</v>
      </c>
      <c r="N147" s="190" t="s">
        <v>70</v>
      </c>
      <c r="O147" s="176" t="s">
        <v>756</v>
      </c>
      <c r="P147" s="149">
        <v>2781250</v>
      </c>
      <c r="Q147" s="178" t="s">
        <v>25</v>
      </c>
      <c r="R147" s="178" t="s">
        <v>26</v>
      </c>
      <c r="S147" s="177">
        <v>2042</v>
      </c>
      <c r="T147" s="179">
        <v>52231</v>
      </c>
      <c r="U147" s="180">
        <v>0.36959999999999998</v>
      </c>
      <c r="V147" s="180"/>
      <c r="W147" s="181">
        <f t="shared" si="42"/>
        <v>0.36959999999999998</v>
      </c>
      <c r="X147" s="180"/>
      <c r="Y147" s="180"/>
      <c r="Z147" s="180"/>
      <c r="AA147" s="182">
        <v>0.19800000000000001</v>
      </c>
      <c r="AB147" s="180">
        <v>0.63040000000000007</v>
      </c>
      <c r="AC147" s="113">
        <f t="shared" si="52"/>
        <v>202400</v>
      </c>
      <c r="AD147" s="179"/>
      <c r="AE147" s="183">
        <f t="shared" si="43"/>
        <v>2.78125</v>
      </c>
      <c r="AF147" s="182">
        <f t="shared" si="44"/>
        <v>2.4984279554437657E-2</v>
      </c>
      <c r="AG147" s="184">
        <f t="shared" si="45"/>
        <v>25.9072</v>
      </c>
      <c r="AH147" s="183">
        <v>128</v>
      </c>
      <c r="AI147" s="183">
        <v>275</v>
      </c>
      <c r="AJ147" s="183">
        <v>736</v>
      </c>
      <c r="AK147" s="183">
        <v>550</v>
      </c>
      <c r="AL147" s="184">
        <f t="shared" si="46"/>
        <v>111.32</v>
      </c>
      <c r="AM147" s="184">
        <f t="shared" si="47"/>
        <v>41.143871999999995</v>
      </c>
      <c r="AN147" s="151">
        <f t="shared" si="48"/>
        <v>151250</v>
      </c>
      <c r="AO147" s="151">
        <f t="shared" si="49"/>
        <v>35200</v>
      </c>
      <c r="AP147" s="152">
        <f t="shared" si="50"/>
        <v>1</v>
      </c>
      <c r="AQ147" s="153">
        <f t="shared" si="51"/>
        <v>3.8803072316559448</v>
      </c>
      <c r="AR147" s="185" t="s">
        <v>783</v>
      </c>
    </row>
    <row r="148" spans="1:123" s="120" customFormat="1">
      <c r="A148" s="247" t="s">
        <v>508</v>
      </c>
      <c r="B148" s="103" t="s">
        <v>288</v>
      </c>
      <c r="C148" s="104" t="s">
        <v>343</v>
      </c>
      <c r="D148" s="33">
        <v>1</v>
      </c>
      <c r="E148" s="34" t="s">
        <v>740</v>
      </c>
      <c r="F148" s="35"/>
      <c r="G148" s="36">
        <v>2106</v>
      </c>
      <c r="H148" s="35"/>
      <c r="I148" s="35"/>
      <c r="J148" s="37">
        <v>333</v>
      </c>
      <c r="K148" s="105" t="s">
        <v>159</v>
      </c>
      <c r="L148" s="154" t="s">
        <v>160</v>
      </c>
      <c r="M148" s="155" t="s">
        <v>576</v>
      </c>
      <c r="N148" s="154" t="s">
        <v>51</v>
      </c>
      <c r="O148" s="105" t="s">
        <v>756</v>
      </c>
      <c r="P148" s="107">
        <v>1436252.3</v>
      </c>
      <c r="Q148" s="108" t="s">
        <v>25</v>
      </c>
      <c r="R148" s="108" t="s">
        <v>26</v>
      </c>
      <c r="S148" s="106">
        <v>2043</v>
      </c>
      <c r="T148" s="109">
        <v>52412</v>
      </c>
      <c r="U148" s="110">
        <v>0.7</v>
      </c>
      <c r="V148" s="110">
        <v>0.30000000000000004</v>
      </c>
      <c r="W148" s="111">
        <f t="shared" si="42"/>
        <v>1</v>
      </c>
      <c r="X148" s="110">
        <v>0.05</v>
      </c>
      <c r="Y148" s="110">
        <v>9.0000000000000011E-2</v>
      </c>
      <c r="Z148" s="110">
        <v>6.8000000000000005E-2</v>
      </c>
      <c r="AA148" s="112">
        <v>0.19800000000000001</v>
      </c>
      <c r="AB148" s="110"/>
      <c r="AC148" s="113">
        <f t="shared" si="52"/>
        <v>232066.42500000002</v>
      </c>
      <c r="AD148" s="109"/>
      <c r="AE148" s="114">
        <f t="shared" si="43"/>
        <v>1.4362523</v>
      </c>
      <c r="AF148" s="112">
        <f t="shared" si="44"/>
        <v>1.2377941358815689E-2</v>
      </c>
      <c r="AG148" s="115">
        <f t="shared" si="45"/>
        <v>37.130628000000009</v>
      </c>
      <c r="AH148" s="114">
        <v>160</v>
      </c>
      <c r="AI148" s="114">
        <v>270.15881839348083</v>
      </c>
      <c r="AJ148" s="114">
        <v>859</v>
      </c>
      <c r="AK148" s="114">
        <v>500.00000000000006</v>
      </c>
      <c r="AL148" s="115">
        <f t="shared" si="46"/>
        <v>116.03321250000003</v>
      </c>
      <c r="AM148" s="115">
        <f t="shared" si="47"/>
        <v>81.223248750000025</v>
      </c>
      <c r="AN148" s="116">
        <f t="shared" si="48"/>
        <v>135079.40919674042</v>
      </c>
      <c r="AO148" s="116">
        <f t="shared" si="49"/>
        <v>43225.410942956936</v>
      </c>
      <c r="AP148" s="117">
        <f t="shared" si="50"/>
        <v>0.7</v>
      </c>
      <c r="AQ148" s="118">
        <f t="shared" si="51"/>
        <v>2.1060362704525004</v>
      </c>
      <c r="AR148" s="119" t="s">
        <v>783</v>
      </c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</row>
    <row r="149" spans="1:123">
      <c r="A149" s="248" t="s">
        <v>428</v>
      </c>
      <c r="B149" s="19" t="s">
        <v>220</v>
      </c>
      <c r="C149" s="21" t="s">
        <v>327</v>
      </c>
      <c r="D149" s="22">
        <v>1</v>
      </c>
      <c r="E149" s="23" t="s">
        <v>740</v>
      </c>
      <c r="F149" s="17"/>
      <c r="G149" s="24" t="s">
        <v>753</v>
      </c>
      <c r="H149" s="17"/>
      <c r="I149" s="17"/>
      <c r="J149" s="25">
        <v>177</v>
      </c>
      <c r="K149" s="176" t="s">
        <v>53</v>
      </c>
      <c r="L149" s="176" t="s">
        <v>54</v>
      </c>
      <c r="M149" s="177" t="s">
        <v>568</v>
      </c>
      <c r="N149" s="190" t="s">
        <v>71</v>
      </c>
      <c r="O149" s="176" t="s">
        <v>756</v>
      </c>
      <c r="P149" s="149">
        <v>2781250</v>
      </c>
      <c r="Q149" s="178" t="s">
        <v>25</v>
      </c>
      <c r="R149" s="178" t="s">
        <v>26</v>
      </c>
      <c r="S149" s="177">
        <v>2043</v>
      </c>
      <c r="T149" s="179">
        <v>52596</v>
      </c>
      <c r="U149" s="180">
        <v>0.36959999999999998</v>
      </c>
      <c r="V149" s="180"/>
      <c r="W149" s="181">
        <f t="shared" si="42"/>
        <v>0.36959999999999998</v>
      </c>
      <c r="X149" s="180"/>
      <c r="Y149" s="180"/>
      <c r="Z149" s="180"/>
      <c r="AA149" s="182">
        <v>0.19800000000000001</v>
      </c>
      <c r="AB149" s="180">
        <v>0.63040000000000007</v>
      </c>
      <c r="AC149" s="113">
        <f t="shared" si="52"/>
        <v>202400</v>
      </c>
      <c r="AD149" s="179"/>
      <c r="AE149" s="183">
        <f t="shared" si="43"/>
        <v>2.78125</v>
      </c>
      <c r="AF149" s="182">
        <f t="shared" si="44"/>
        <v>2.4984279554437657E-2</v>
      </c>
      <c r="AG149" s="184">
        <f t="shared" si="45"/>
        <v>25.9072</v>
      </c>
      <c r="AH149" s="183">
        <v>128</v>
      </c>
      <c r="AI149" s="183">
        <v>275</v>
      </c>
      <c r="AJ149" s="183">
        <v>736</v>
      </c>
      <c r="AK149" s="183">
        <v>550</v>
      </c>
      <c r="AL149" s="184">
        <f t="shared" si="46"/>
        <v>111.32</v>
      </c>
      <c r="AM149" s="184">
        <f t="shared" si="47"/>
        <v>41.143871999999995</v>
      </c>
      <c r="AN149" s="151">
        <f t="shared" si="48"/>
        <v>151250</v>
      </c>
      <c r="AO149" s="151">
        <f t="shared" si="49"/>
        <v>35200</v>
      </c>
      <c r="AP149" s="152">
        <f t="shared" si="50"/>
        <v>1</v>
      </c>
      <c r="AQ149" s="153">
        <f t="shared" si="51"/>
        <v>3.8803072316559448</v>
      </c>
      <c r="AR149" s="185" t="s">
        <v>783</v>
      </c>
    </row>
    <row r="150" spans="1:123" s="131" customFormat="1">
      <c r="A150" s="247" t="s">
        <v>428</v>
      </c>
      <c r="B150" s="103" t="s">
        <v>221</v>
      </c>
      <c r="C150" s="104" t="s">
        <v>327</v>
      </c>
      <c r="D150" s="33">
        <v>1</v>
      </c>
      <c r="E150" s="34" t="s">
        <v>740</v>
      </c>
      <c r="F150" s="35"/>
      <c r="G150" s="36" t="s">
        <v>753</v>
      </c>
      <c r="H150" s="35"/>
      <c r="I150" s="35"/>
      <c r="J150" s="37">
        <v>178</v>
      </c>
      <c r="K150" s="105" t="s">
        <v>53</v>
      </c>
      <c r="L150" s="105" t="s">
        <v>54</v>
      </c>
      <c r="M150" s="106" t="s">
        <v>568</v>
      </c>
      <c r="N150" s="154" t="s">
        <v>72</v>
      </c>
      <c r="O150" s="105" t="s">
        <v>756</v>
      </c>
      <c r="P150" s="107">
        <v>2781250</v>
      </c>
      <c r="Q150" s="108" t="s">
        <v>25</v>
      </c>
      <c r="R150" s="108" t="s">
        <v>26</v>
      </c>
      <c r="S150" s="106">
        <v>2044</v>
      </c>
      <c r="T150" s="109">
        <v>52962</v>
      </c>
      <c r="U150" s="110">
        <v>0.36959999999999998</v>
      </c>
      <c r="V150" s="110"/>
      <c r="W150" s="111">
        <f t="shared" si="42"/>
        <v>0.36959999999999998</v>
      </c>
      <c r="X150" s="110"/>
      <c r="Y150" s="110"/>
      <c r="Z150" s="110"/>
      <c r="AA150" s="112">
        <v>0.19800000000000001</v>
      </c>
      <c r="AB150" s="110">
        <v>0.63040000000000007</v>
      </c>
      <c r="AC150" s="113">
        <f t="shared" si="52"/>
        <v>202400</v>
      </c>
      <c r="AD150" s="109"/>
      <c r="AE150" s="114">
        <f t="shared" si="43"/>
        <v>2.78125</v>
      </c>
      <c r="AF150" s="112">
        <f t="shared" si="44"/>
        <v>2.4984279554437657E-2</v>
      </c>
      <c r="AG150" s="115">
        <f t="shared" si="45"/>
        <v>25.9072</v>
      </c>
      <c r="AH150" s="114">
        <v>128</v>
      </c>
      <c r="AI150" s="114">
        <v>275</v>
      </c>
      <c r="AJ150" s="114">
        <v>736</v>
      </c>
      <c r="AK150" s="114">
        <v>550</v>
      </c>
      <c r="AL150" s="115">
        <f t="shared" si="46"/>
        <v>111.32</v>
      </c>
      <c r="AM150" s="115">
        <f t="shared" si="47"/>
        <v>41.143871999999995</v>
      </c>
      <c r="AN150" s="116">
        <f t="shared" si="48"/>
        <v>151250</v>
      </c>
      <c r="AO150" s="116">
        <f t="shared" si="49"/>
        <v>35200</v>
      </c>
      <c r="AP150" s="117">
        <f t="shared" si="50"/>
        <v>1</v>
      </c>
      <c r="AQ150" s="118">
        <f t="shared" si="51"/>
        <v>3.8803072316559448</v>
      </c>
      <c r="AR150" s="119" t="s">
        <v>783</v>
      </c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</row>
    <row r="151" spans="1:123">
      <c r="A151" s="248" t="s">
        <v>508</v>
      </c>
      <c r="B151" s="19" t="s">
        <v>289</v>
      </c>
      <c r="C151" s="21" t="s">
        <v>343</v>
      </c>
      <c r="D151" s="22">
        <v>1</v>
      </c>
      <c r="E151" s="23" t="s">
        <v>740</v>
      </c>
      <c r="F151" s="17"/>
      <c r="G151" s="24">
        <v>2106</v>
      </c>
      <c r="H151" s="17"/>
      <c r="I151" s="17"/>
      <c r="J151" s="25">
        <v>334</v>
      </c>
      <c r="K151" s="176" t="s">
        <v>159</v>
      </c>
      <c r="L151" s="190" t="s">
        <v>160</v>
      </c>
      <c r="M151" s="187" t="s">
        <v>576</v>
      </c>
      <c r="N151" s="190" t="s">
        <v>162</v>
      </c>
      <c r="O151" s="176" t="s">
        <v>756</v>
      </c>
      <c r="P151" s="149">
        <v>1436252.3</v>
      </c>
      <c r="Q151" s="178" t="s">
        <v>25</v>
      </c>
      <c r="R151" s="178" t="s">
        <v>26</v>
      </c>
      <c r="S151" s="177">
        <v>2045</v>
      </c>
      <c r="T151" s="179">
        <v>53143</v>
      </c>
      <c r="U151" s="180">
        <v>0.7</v>
      </c>
      <c r="V151" s="180">
        <v>0.30000000000000004</v>
      </c>
      <c r="W151" s="181">
        <f t="shared" si="42"/>
        <v>1</v>
      </c>
      <c r="X151" s="180">
        <v>0.05</v>
      </c>
      <c r="Y151" s="180">
        <v>9.0000000000000011E-2</v>
      </c>
      <c r="Z151" s="180">
        <v>6.8000000000000005E-2</v>
      </c>
      <c r="AA151" s="182">
        <v>0.19800000000000001</v>
      </c>
      <c r="AB151" s="180"/>
      <c r="AC151" s="113">
        <f t="shared" si="52"/>
        <v>232066.42500000002</v>
      </c>
      <c r="AD151" s="179"/>
      <c r="AE151" s="183">
        <f t="shared" si="43"/>
        <v>1.4362523</v>
      </c>
      <c r="AF151" s="182">
        <f t="shared" si="44"/>
        <v>1.2377941358815689E-2</v>
      </c>
      <c r="AG151" s="184">
        <f t="shared" si="45"/>
        <v>37.130628000000009</v>
      </c>
      <c r="AH151" s="183">
        <v>160</v>
      </c>
      <c r="AI151" s="183">
        <v>270.15881839348083</v>
      </c>
      <c r="AJ151" s="183">
        <v>859</v>
      </c>
      <c r="AK151" s="183">
        <v>500.00000000000006</v>
      </c>
      <c r="AL151" s="184">
        <f t="shared" si="46"/>
        <v>116.03321250000003</v>
      </c>
      <c r="AM151" s="184">
        <f t="shared" si="47"/>
        <v>81.223248750000025</v>
      </c>
      <c r="AN151" s="151">
        <f t="shared" si="48"/>
        <v>135079.40919674042</v>
      </c>
      <c r="AO151" s="151">
        <f t="shared" si="49"/>
        <v>43225.410942956936</v>
      </c>
      <c r="AP151" s="152">
        <f t="shared" si="50"/>
        <v>0.7</v>
      </c>
      <c r="AQ151" s="153">
        <f t="shared" si="51"/>
        <v>2.1060362704525004</v>
      </c>
      <c r="AR151" s="185" t="s">
        <v>783</v>
      </c>
    </row>
    <row r="152" spans="1:123" s="120" customFormat="1">
      <c r="A152" s="247" t="s">
        <v>508</v>
      </c>
      <c r="B152" s="103" t="s">
        <v>290</v>
      </c>
      <c r="C152" s="104" t="s">
        <v>343</v>
      </c>
      <c r="D152" s="33">
        <v>1</v>
      </c>
      <c r="E152" s="34" t="s">
        <v>740</v>
      </c>
      <c r="F152" s="35"/>
      <c r="G152" s="36">
        <v>2106</v>
      </c>
      <c r="H152" s="35"/>
      <c r="I152" s="35"/>
      <c r="J152" s="37">
        <v>335</v>
      </c>
      <c r="K152" s="105" t="s">
        <v>159</v>
      </c>
      <c r="L152" s="154" t="s">
        <v>160</v>
      </c>
      <c r="M152" s="155" t="s">
        <v>576</v>
      </c>
      <c r="N152" s="154" t="s">
        <v>163</v>
      </c>
      <c r="O152" s="105" t="s">
        <v>756</v>
      </c>
      <c r="P152" s="107">
        <v>1436252.3</v>
      </c>
      <c r="Q152" s="108" t="s">
        <v>25</v>
      </c>
      <c r="R152" s="108" t="s">
        <v>26</v>
      </c>
      <c r="S152" s="106">
        <v>2047</v>
      </c>
      <c r="T152" s="109">
        <v>53873</v>
      </c>
      <c r="U152" s="110">
        <v>0.7</v>
      </c>
      <c r="V152" s="110">
        <v>0.30000000000000004</v>
      </c>
      <c r="W152" s="111">
        <f t="shared" si="42"/>
        <v>1</v>
      </c>
      <c r="X152" s="110">
        <v>0.05</v>
      </c>
      <c r="Y152" s="110">
        <v>9.0000000000000011E-2</v>
      </c>
      <c r="Z152" s="110">
        <v>6.8000000000000005E-2</v>
      </c>
      <c r="AA152" s="112">
        <v>0.19800000000000001</v>
      </c>
      <c r="AB152" s="110"/>
      <c r="AC152" s="113">
        <f t="shared" si="52"/>
        <v>232066.42500000002</v>
      </c>
      <c r="AD152" s="109"/>
      <c r="AE152" s="114">
        <f t="shared" si="43"/>
        <v>1.4362523</v>
      </c>
      <c r="AF152" s="112">
        <f t="shared" si="44"/>
        <v>1.2377941358815689E-2</v>
      </c>
      <c r="AG152" s="115">
        <f t="shared" si="45"/>
        <v>37.130628000000009</v>
      </c>
      <c r="AH152" s="114">
        <v>160</v>
      </c>
      <c r="AI152" s="114">
        <v>270.15881839348083</v>
      </c>
      <c r="AJ152" s="114">
        <v>859</v>
      </c>
      <c r="AK152" s="114">
        <v>500.00000000000006</v>
      </c>
      <c r="AL152" s="115">
        <f t="shared" si="46"/>
        <v>116.03321250000003</v>
      </c>
      <c r="AM152" s="115">
        <f t="shared" si="47"/>
        <v>81.223248750000025</v>
      </c>
      <c r="AN152" s="116">
        <f t="shared" si="48"/>
        <v>135079.40919674042</v>
      </c>
      <c r="AO152" s="116">
        <f t="shared" si="49"/>
        <v>43225.410942956936</v>
      </c>
      <c r="AP152" s="117">
        <f t="shared" si="50"/>
        <v>0.7</v>
      </c>
      <c r="AQ152" s="118">
        <f t="shared" si="51"/>
        <v>2.1060362704525004</v>
      </c>
      <c r="AR152" s="119" t="s">
        <v>783</v>
      </c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</row>
    <row r="153" spans="1:123">
      <c r="A153" s="248" t="s">
        <v>421</v>
      </c>
      <c r="B153" s="19" t="s">
        <v>404</v>
      </c>
      <c r="C153" s="21" t="s">
        <v>401</v>
      </c>
      <c r="D153" s="22" t="s">
        <v>705</v>
      </c>
      <c r="E153" s="23" t="s">
        <v>740</v>
      </c>
      <c r="F153" s="17"/>
      <c r="G153" s="24">
        <v>2119</v>
      </c>
      <c r="H153" s="17"/>
      <c r="I153" s="17"/>
      <c r="J153" s="25">
        <v>136</v>
      </c>
      <c r="K153" s="176" t="s">
        <v>22</v>
      </c>
      <c r="L153" s="176" t="s">
        <v>859</v>
      </c>
      <c r="M153" s="177" t="s">
        <v>567</v>
      </c>
      <c r="N153" s="190" t="s">
        <v>24</v>
      </c>
      <c r="O153" s="176" t="s">
        <v>756</v>
      </c>
      <c r="P153" s="149">
        <v>84310</v>
      </c>
      <c r="Q153" s="178" t="s">
        <v>25</v>
      </c>
      <c r="R153" s="178" t="s">
        <v>26</v>
      </c>
      <c r="S153" s="177" t="s">
        <v>26</v>
      </c>
      <c r="T153" s="179" t="s">
        <v>26</v>
      </c>
      <c r="U153" s="180">
        <v>1</v>
      </c>
      <c r="V153" s="180"/>
      <c r="W153" s="181">
        <f t="shared" ref="W153:W184" si="53">SUM(U153:V153)</f>
        <v>1</v>
      </c>
      <c r="X153" s="180"/>
      <c r="Y153" s="180"/>
      <c r="Z153" s="180"/>
      <c r="AA153" s="182">
        <v>0.19800000000000001</v>
      </c>
      <c r="AB153" s="180"/>
      <c r="AC153" s="113">
        <f t="shared" si="52"/>
        <v>136646.78</v>
      </c>
      <c r="AD153" s="179"/>
      <c r="AE153" s="183">
        <f t="shared" si="43"/>
        <v>8.4309999999999996E-2</v>
      </c>
      <c r="AF153" s="182">
        <f t="shared" si="44"/>
        <v>2.281114718614718E-3</v>
      </c>
      <c r="AG153" s="184">
        <f t="shared" si="45"/>
        <v>10.931742400000001</v>
      </c>
      <c r="AH153" s="183">
        <v>80</v>
      </c>
      <c r="AI153" s="183">
        <v>221.82918831168831</v>
      </c>
      <c r="AJ153" s="183">
        <v>616</v>
      </c>
      <c r="AK153" s="183">
        <v>270.47838229338447</v>
      </c>
      <c r="AL153" s="184">
        <f t="shared" ref="AL153:AL184" si="54">(AK153*AJ153*AI153)/10^6</f>
        <v>36.960000000000008</v>
      </c>
      <c r="AM153" s="184">
        <f t="shared" ref="AM153:AM184" si="55">AL153*U153</f>
        <v>36.960000000000008</v>
      </c>
      <c r="AN153" s="151">
        <f t="shared" ref="AN153:AN184" si="56">AI153*AK153</f>
        <v>60000.000000000007</v>
      </c>
      <c r="AO153" s="151">
        <f t="shared" ref="AO153:AO184" si="57">AH153*AI153</f>
        <v>17746.335064935065</v>
      </c>
      <c r="AP153" s="152">
        <f t="shared" ref="AP153:AP184" si="58">U153+AB153</f>
        <v>1</v>
      </c>
      <c r="AQ153" s="153">
        <f t="shared" ref="AQ153:AQ184" si="59">AL153*AP153/(AG153+AE153)</f>
        <v>3.3551038664267794</v>
      </c>
      <c r="AR153" s="185" t="s">
        <v>783</v>
      </c>
    </row>
    <row r="154" spans="1:123" s="120" customFormat="1">
      <c r="A154" s="247" t="s">
        <v>422</v>
      </c>
      <c r="B154" s="103" t="s">
        <v>409</v>
      </c>
      <c r="C154" s="104" t="s">
        <v>321</v>
      </c>
      <c r="D154" s="33">
        <v>1</v>
      </c>
      <c r="E154" s="34" t="s">
        <v>740</v>
      </c>
      <c r="F154" s="35"/>
      <c r="G154" s="36">
        <v>2115</v>
      </c>
      <c r="H154" s="35">
        <v>4</v>
      </c>
      <c r="I154" s="35"/>
      <c r="J154" s="37">
        <v>137</v>
      </c>
      <c r="K154" s="105" t="s">
        <v>22</v>
      </c>
      <c r="L154" s="105" t="s">
        <v>27</v>
      </c>
      <c r="M154" s="106" t="s">
        <v>567</v>
      </c>
      <c r="N154" s="154" t="s">
        <v>28</v>
      </c>
      <c r="O154" s="105" t="s">
        <v>756</v>
      </c>
      <c r="P154" s="107">
        <v>60000</v>
      </c>
      <c r="Q154" s="108" t="s">
        <v>25</v>
      </c>
      <c r="R154" s="108" t="s">
        <v>759</v>
      </c>
      <c r="S154" s="106" t="s">
        <v>26</v>
      </c>
      <c r="T154" s="109" t="s">
        <v>26</v>
      </c>
      <c r="U154" s="110">
        <v>1</v>
      </c>
      <c r="V154" s="110"/>
      <c r="W154" s="111">
        <f t="shared" si="53"/>
        <v>1</v>
      </c>
      <c r="X154" s="110"/>
      <c r="Y154" s="110"/>
      <c r="Z154" s="110"/>
      <c r="AA154" s="112">
        <v>0.19800000000000001</v>
      </c>
      <c r="AB154" s="110"/>
      <c r="AC154" s="113">
        <f t="shared" si="52"/>
        <v>11175.269999999999</v>
      </c>
      <c r="AD154" s="109"/>
      <c r="AE154" s="114">
        <f t="shared" si="43"/>
        <v>0.06</v>
      </c>
      <c r="AF154" s="112">
        <f t="shared" si="44"/>
        <v>1.3953488372093023E-2</v>
      </c>
      <c r="AG154" s="115">
        <f t="shared" si="45"/>
        <v>0.89402159999999986</v>
      </c>
      <c r="AH154" s="114">
        <v>80</v>
      </c>
      <c r="AI154" s="114">
        <v>259.89</v>
      </c>
      <c r="AJ154" s="114">
        <v>43</v>
      </c>
      <c r="AK154" s="114">
        <v>384.77817538189237</v>
      </c>
      <c r="AL154" s="115">
        <f t="shared" si="54"/>
        <v>4.3</v>
      </c>
      <c r="AM154" s="115">
        <f t="shared" si="55"/>
        <v>4.3</v>
      </c>
      <c r="AN154" s="116">
        <f t="shared" si="56"/>
        <v>100000</v>
      </c>
      <c r="AO154" s="116">
        <f t="shared" si="57"/>
        <v>20791.199999999997</v>
      </c>
      <c r="AP154" s="117">
        <f t="shared" si="58"/>
        <v>1</v>
      </c>
      <c r="AQ154" s="118">
        <f t="shared" si="59"/>
        <v>4.5072354755909094</v>
      </c>
      <c r="AR154" s="119" t="s">
        <v>783</v>
      </c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</row>
    <row r="155" spans="1:123">
      <c r="A155" s="248" t="s">
        <v>422</v>
      </c>
      <c r="B155" s="19" t="s">
        <v>410</v>
      </c>
      <c r="C155" s="21" t="s">
        <v>321</v>
      </c>
      <c r="D155" s="22">
        <v>1</v>
      </c>
      <c r="E155" s="23" t="s">
        <v>740</v>
      </c>
      <c r="F155" s="17"/>
      <c r="G155" s="24">
        <v>2115</v>
      </c>
      <c r="H155" s="17">
        <v>4</v>
      </c>
      <c r="I155" s="17"/>
      <c r="J155" s="25">
        <v>138</v>
      </c>
      <c r="K155" s="176" t="s">
        <v>22</v>
      </c>
      <c r="L155" s="176" t="s">
        <v>27</v>
      </c>
      <c r="M155" s="177" t="s">
        <v>567</v>
      </c>
      <c r="N155" s="190" t="s">
        <v>29</v>
      </c>
      <c r="O155" s="176" t="s">
        <v>756</v>
      </c>
      <c r="P155" s="149">
        <v>60000</v>
      </c>
      <c r="Q155" s="178" t="s">
        <v>25</v>
      </c>
      <c r="R155" s="178" t="s">
        <v>759</v>
      </c>
      <c r="S155" s="177" t="s">
        <v>26</v>
      </c>
      <c r="T155" s="179" t="s">
        <v>26</v>
      </c>
      <c r="U155" s="180">
        <v>1</v>
      </c>
      <c r="V155" s="180"/>
      <c r="W155" s="181">
        <f t="shared" si="53"/>
        <v>1</v>
      </c>
      <c r="X155" s="180"/>
      <c r="Y155" s="180"/>
      <c r="Z155" s="180"/>
      <c r="AA155" s="182">
        <v>0.19800000000000001</v>
      </c>
      <c r="AB155" s="180"/>
      <c r="AC155" s="113">
        <f t="shared" si="52"/>
        <v>21556.5</v>
      </c>
      <c r="AD155" s="179"/>
      <c r="AE155" s="183">
        <f t="shared" si="43"/>
        <v>0.06</v>
      </c>
      <c r="AF155" s="182">
        <f t="shared" si="44"/>
        <v>6.4935064935064931E-3</v>
      </c>
      <c r="AG155" s="184">
        <f t="shared" si="45"/>
        <v>1.7245200000000001</v>
      </c>
      <c r="AH155" s="183">
        <v>80</v>
      </c>
      <c r="AI155" s="183">
        <v>279.95454545454544</v>
      </c>
      <c r="AJ155" s="183">
        <v>77</v>
      </c>
      <c r="AK155" s="183">
        <v>428.64101315148565</v>
      </c>
      <c r="AL155" s="184">
        <f t="shared" si="54"/>
        <v>9.24</v>
      </c>
      <c r="AM155" s="184">
        <f t="shared" si="55"/>
        <v>9.24</v>
      </c>
      <c r="AN155" s="151">
        <f t="shared" si="56"/>
        <v>120000</v>
      </c>
      <c r="AO155" s="151">
        <f t="shared" si="57"/>
        <v>22396.363636363636</v>
      </c>
      <c r="AP155" s="152">
        <f t="shared" si="58"/>
        <v>1</v>
      </c>
      <c r="AQ155" s="153">
        <f t="shared" si="59"/>
        <v>5.1778629547441328</v>
      </c>
      <c r="AR155" s="185" t="s">
        <v>783</v>
      </c>
    </row>
    <row r="156" spans="1:123" s="120" customFormat="1">
      <c r="A156" s="247" t="s">
        <v>415</v>
      </c>
      <c r="B156" s="103" t="s">
        <v>403</v>
      </c>
      <c r="C156" s="104" t="s">
        <v>322</v>
      </c>
      <c r="D156" s="33">
        <v>1</v>
      </c>
      <c r="E156" s="34" t="s">
        <v>740</v>
      </c>
      <c r="F156" s="35"/>
      <c r="G156" s="36">
        <v>2117</v>
      </c>
      <c r="H156" s="35"/>
      <c r="I156" s="35"/>
      <c r="J156" s="37">
        <v>145</v>
      </c>
      <c r="K156" s="105" t="s">
        <v>22</v>
      </c>
      <c r="L156" s="105" t="s">
        <v>37</v>
      </c>
      <c r="M156" s="106" t="s">
        <v>567</v>
      </c>
      <c r="N156" s="154" t="s">
        <v>38</v>
      </c>
      <c r="O156" s="105" t="s">
        <v>756</v>
      </c>
      <c r="P156" s="122">
        <v>2372312.5</v>
      </c>
      <c r="Q156" s="108" t="s">
        <v>25</v>
      </c>
      <c r="R156" s="108" t="s">
        <v>26</v>
      </c>
      <c r="S156" s="106" t="s">
        <v>26</v>
      </c>
      <c r="T156" s="109" t="s">
        <v>26</v>
      </c>
      <c r="U156" s="110">
        <v>1</v>
      </c>
      <c r="V156" s="110"/>
      <c r="W156" s="111">
        <f t="shared" si="53"/>
        <v>1</v>
      </c>
      <c r="X156" s="110"/>
      <c r="Y156" s="110"/>
      <c r="Z156" s="110"/>
      <c r="AA156" s="112">
        <v>0.19800000000000001</v>
      </c>
      <c r="AB156" s="110"/>
      <c r="AC156" s="113">
        <f t="shared" si="52"/>
        <v>43078.78</v>
      </c>
      <c r="AD156" s="109"/>
      <c r="AE156" s="114">
        <f t="shared" si="43"/>
        <v>2.3723125</v>
      </c>
      <c r="AF156" s="112">
        <f t="shared" si="44"/>
        <v>0.16474392361111112</v>
      </c>
      <c r="AG156" s="115">
        <f t="shared" si="45"/>
        <v>3.4463024000000004</v>
      </c>
      <c r="AH156" s="114">
        <v>80</v>
      </c>
      <c r="AI156" s="114">
        <v>2393.2655555555557</v>
      </c>
      <c r="AJ156" s="114">
        <v>18</v>
      </c>
      <c r="AK156" s="114">
        <v>334.27130480482498</v>
      </c>
      <c r="AL156" s="115">
        <f t="shared" si="54"/>
        <v>14.399999999999999</v>
      </c>
      <c r="AM156" s="115">
        <f t="shared" si="55"/>
        <v>14.399999999999999</v>
      </c>
      <c r="AN156" s="116">
        <f t="shared" si="56"/>
        <v>800000</v>
      </c>
      <c r="AO156" s="116">
        <f t="shared" si="57"/>
        <v>191461.24444444446</v>
      </c>
      <c r="AP156" s="117">
        <f t="shared" si="58"/>
        <v>1</v>
      </c>
      <c r="AQ156" s="118">
        <f t="shared" si="59"/>
        <v>2.4748157847669208</v>
      </c>
      <c r="AR156" s="119" t="s">
        <v>783</v>
      </c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</row>
    <row r="157" spans="1:123">
      <c r="A157" s="248" t="s">
        <v>427</v>
      </c>
      <c r="B157" s="19" t="s">
        <v>204</v>
      </c>
      <c r="C157" s="21" t="s">
        <v>325</v>
      </c>
      <c r="D157" s="22">
        <v>1</v>
      </c>
      <c r="E157" s="23" t="s">
        <v>740</v>
      </c>
      <c r="F157" s="17"/>
      <c r="G157" s="24">
        <v>2120</v>
      </c>
      <c r="H157" s="17"/>
      <c r="I157" s="17"/>
      <c r="J157" s="25">
        <v>160</v>
      </c>
      <c r="K157" s="176" t="s">
        <v>22</v>
      </c>
      <c r="L157" s="176" t="s">
        <v>52</v>
      </c>
      <c r="M157" s="177" t="s">
        <v>567</v>
      </c>
      <c r="N157" s="190" t="s">
        <v>24</v>
      </c>
      <c r="O157" s="176" t="s">
        <v>756</v>
      </c>
      <c r="P157" s="149">
        <v>9700000</v>
      </c>
      <c r="Q157" s="178" t="s">
        <v>25</v>
      </c>
      <c r="R157" s="178" t="s">
        <v>26</v>
      </c>
      <c r="S157" s="177" t="s">
        <v>26</v>
      </c>
      <c r="T157" s="179" t="s">
        <v>26</v>
      </c>
      <c r="U157" s="180">
        <v>1</v>
      </c>
      <c r="V157" s="180"/>
      <c r="W157" s="181">
        <f t="shared" si="53"/>
        <v>1</v>
      </c>
      <c r="X157" s="180"/>
      <c r="Y157" s="180"/>
      <c r="Z157" s="180"/>
      <c r="AA157" s="182">
        <v>0.19800000000000001</v>
      </c>
      <c r="AB157" s="180"/>
      <c r="AC157" s="113">
        <f t="shared" si="52"/>
        <v>751970</v>
      </c>
      <c r="AD157" s="179"/>
      <c r="AE157" s="183">
        <f t="shared" si="43"/>
        <v>9.6999999999999993</v>
      </c>
      <c r="AF157" s="182">
        <f t="shared" si="44"/>
        <v>0.19399999999999998</v>
      </c>
      <c r="AG157" s="184">
        <f t="shared" si="45"/>
        <v>60.157600000000009</v>
      </c>
      <c r="AH157" s="183">
        <v>80</v>
      </c>
      <c r="AI157" s="183">
        <v>1503.94</v>
      </c>
      <c r="AJ157" s="183">
        <v>500</v>
      </c>
      <c r="AK157" s="183">
        <v>66.492014309081483</v>
      </c>
      <c r="AL157" s="184">
        <f t="shared" si="54"/>
        <v>50</v>
      </c>
      <c r="AM157" s="184">
        <f t="shared" si="55"/>
        <v>50</v>
      </c>
      <c r="AN157" s="151">
        <f t="shared" si="56"/>
        <v>100000.00000000001</v>
      </c>
      <c r="AO157" s="151">
        <f t="shared" si="57"/>
        <v>120315.20000000001</v>
      </c>
      <c r="AP157" s="152">
        <f t="shared" si="58"/>
        <v>1</v>
      </c>
      <c r="AQ157" s="153">
        <f t="shared" si="59"/>
        <v>0.71574173747738246</v>
      </c>
      <c r="AR157" s="185" t="s">
        <v>783</v>
      </c>
    </row>
    <row r="158" spans="1:123" s="120" customFormat="1">
      <c r="A158" s="247" t="s">
        <v>424</v>
      </c>
      <c r="B158" s="103" t="s">
        <v>649</v>
      </c>
      <c r="C158" s="104" t="s">
        <v>402</v>
      </c>
      <c r="D158" s="33">
        <v>0</v>
      </c>
      <c r="E158" s="34" t="s">
        <v>740</v>
      </c>
      <c r="F158" s="35"/>
      <c r="G158" s="36" t="s">
        <v>754</v>
      </c>
      <c r="H158" s="35"/>
      <c r="I158" s="35"/>
      <c r="J158" s="37">
        <v>140</v>
      </c>
      <c r="K158" s="105" t="s">
        <v>22</v>
      </c>
      <c r="L158" s="105" t="s">
        <v>30</v>
      </c>
      <c r="M158" s="106" t="s">
        <v>567</v>
      </c>
      <c r="N158" s="154" t="s">
        <v>32</v>
      </c>
      <c r="O158" s="105" t="s">
        <v>760</v>
      </c>
      <c r="P158" s="107">
        <v>0</v>
      </c>
      <c r="Q158" s="108" t="s">
        <v>25</v>
      </c>
      <c r="R158" s="108" t="s">
        <v>26</v>
      </c>
      <c r="S158" s="106" t="s">
        <v>26</v>
      </c>
      <c r="T158" s="109" t="s">
        <v>26</v>
      </c>
      <c r="U158" s="110">
        <v>0.9</v>
      </c>
      <c r="V158" s="110"/>
      <c r="W158" s="111">
        <f t="shared" si="53"/>
        <v>0.9</v>
      </c>
      <c r="X158" s="110"/>
      <c r="Y158" s="110"/>
      <c r="Z158" s="110"/>
      <c r="AA158" s="112">
        <v>0.19800000000000001</v>
      </c>
      <c r="AB158" s="110">
        <v>9.9999999999999978E-2</v>
      </c>
      <c r="AC158" s="113">
        <f t="shared" si="52"/>
        <v>197371.09310850437</v>
      </c>
      <c r="AD158" s="41"/>
      <c r="AE158" s="35">
        <f t="shared" si="43"/>
        <v>0</v>
      </c>
      <c r="AF158" s="48">
        <f t="shared" si="44"/>
        <v>0</v>
      </c>
      <c r="AG158" s="50">
        <f t="shared" si="45"/>
        <v>26.270092492741931</v>
      </c>
      <c r="AH158" s="114">
        <v>133.1</v>
      </c>
      <c r="AI158" s="114">
        <v>219.30121456500487</v>
      </c>
      <c r="AJ158" s="114">
        <v>900</v>
      </c>
      <c r="AK158" s="114">
        <v>600</v>
      </c>
      <c r="AL158" s="115">
        <f t="shared" si="54"/>
        <v>118.42265586510264</v>
      </c>
      <c r="AM158" s="115">
        <f t="shared" si="55"/>
        <v>106.58039027859238</v>
      </c>
      <c r="AN158" s="116">
        <f t="shared" si="56"/>
        <v>131580.72873900292</v>
      </c>
      <c r="AO158" s="116">
        <f t="shared" si="57"/>
        <v>29188.991658602146</v>
      </c>
      <c r="AP158" s="117">
        <f t="shared" si="58"/>
        <v>1</v>
      </c>
      <c r="AQ158" s="118">
        <f t="shared" si="59"/>
        <v>4.5078888054094675</v>
      </c>
      <c r="AR158" s="131" t="s">
        <v>783</v>
      </c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</row>
    <row r="159" spans="1:123">
      <c r="A159" s="248" t="s">
        <v>424</v>
      </c>
      <c r="B159" s="19" t="s">
        <v>650</v>
      </c>
      <c r="C159" s="21" t="s">
        <v>402</v>
      </c>
      <c r="D159" s="22">
        <v>0</v>
      </c>
      <c r="E159" s="23" t="s">
        <v>740</v>
      </c>
      <c r="F159" s="17"/>
      <c r="G159" s="24" t="s">
        <v>754</v>
      </c>
      <c r="H159" s="17"/>
      <c r="I159" s="17"/>
      <c r="J159" s="25">
        <v>141</v>
      </c>
      <c r="K159" s="176" t="s">
        <v>22</v>
      </c>
      <c r="L159" s="176" t="s">
        <v>30</v>
      </c>
      <c r="M159" s="177" t="s">
        <v>567</v>
      </c>
      <c r="N159" s="190" t="s">
        <v>33</v>
      </c>
      <c r="O159" s="176" t="s">
        <v>760</v>
      </c>
      <c r="P159" s="149">
        <v>0</v>
      </c>
      <c r="Q159" s="178" t="s">
        <v>25</v>
      </c>
      <c r="R159" s="178" t="s">
        <v>26</v>
      </c>
      <c r="S159" s="177" t="s">
        <v>26</v>
      </c>
      <c r="T159" s="179" t="s">
        <v>26</v>
      </c>
      <c r="U159" s="180">
        <v>0.9</v>
      </c>
      <c r="V159" s="180"/>
      <c r="W159" s="181">
        <f t="shared" si="53"/>
        <v>0.9</v>
      </c>
      <c r="X159" s="180"/>
      <c r="Y159" s="180"/>
      <c r="Z159" s="180"/>
      <c r="AA159" s="182">
        <v>0.19800000000000001</v>
      </c>
      <c r="AB159" s="180">
        <v>9.9999999999999978E-2</v>
      </c>
      <c r="AC159" s="113">
        <f t="shared" si="52"/>
        <v>174125.16436461385</v>
      </c>
      <c r="AD159" s="179"/>
      <c r="AE159" s="183">
        <f t="shared" si="43"/>
        <v>0</v>
      </c>
      <c r="AF159" s="182">
        <f t="shared" si="44"/>
        <v>0</v>
      </c>
      <c r="AG159" s="184">
        <f t="shared" si="45"/>
        <v>23.176059376930102</v>
      </c>
      <c r="AH159" s="183">
        <v>133.1</v>
      </c>
      <c r="AI159" s="183">
        <v>219.30121456500484</v>
      </c>
      <c r="AJ159" s="183">
        <v>794</v>
      </c>
      <c r="AK159" s="183">
        <v>600</v>
      </c>
      <c r="AL159" s="184">
        <f t="shared" si="54"/>
        <v>104.4750986187683</v>
      </c>
      <c r="AM159" s="184">
        <f t="shared" si="55"/>
        <v>94.027588756891475</v>
      </c>
      <c r="AN159" s="151">
        <f t="shared" si="56"/>
        <v>131580.72873900289</v>
      </c>
      <c r="AO159" s="151">
        <f t="shared" si="57"/>
        <v>29188.991658602143</v>
      </c>
      <c r="AP159" s="152">
        <f t="shared" si="58"/>
        <v>1</v>
      </c>
      <c r="AQ159" s="153">
        <f t="shared" si="59"/>
        <v>4.5078888054094666</v>
      </c>
      <c r="AR159" s="185" t="s">
        <v>783</v>
      </c>
    </row>
    <row r="160" spans="1:123" s="120" customFormat="1">
      <c r="A160" s="247" t="s">
        <v>424</v>
      </c>
      <c r="B160" s="103" t="s">
        <v>651</v>
      </c>
      <c r="C160" s="104" t="s">
        <v>402</v>
      </c>
      <c r="D160" s="33">
        <v>0</v>
      </c>
      <c r="E160" s="34" t="s">
        <v>740</v>
      </c>
      <c r="F160" s="35"/>
      <c r="G160" s="36" t="s">
        <v>754</v>
      </c>
      <c r="H160" s="35"/>
      <c r="I160" s="35"/>
      <c r="J160" s="37">
        <v>142</v>
      </c>
      <c r="K160" s="105" t="s">
        <v>22</v>
      </c>
      <c r="L160" s="105" t="s">
        <v>30</v>
      </c>
      <c r="M160" s="106" t="s">
        <v>567</v>
      </c>
      <c r="N160" s="154" t="s">
        <v>34</v>
      </c>
      <c r="O160" s="105" t="s">
        <v>760</v>
      </c>
      <c r="P160" s="107">
        <v>0</v>
      </c>
      <c r="Q160" s="108" t="s">
        <v>25</v>
      </c>
      <c r="R160" s="108" t="s">
        <v>26</v>
      </c>
      <c r="S160" s="106" t="s">
        <v>26</v>
      </c>
      <c r="T160" s="109" t="s">
        <v>26</v>
      </c>
      <c r="U160" s="110">
        <v>0.9</v>
      </c>
      <c r="V160" s="110"/>
      <c r="W160" s="111">
        <f t="shared" si="53"/>
        <v>0.9</v>
      </c>
      <c r="X160" s="110"/>
      <c r="Y160" s="110"/>
      <c r="Z160" s="110"/>
      <c r="AA160" s="112">
        <v>0.19800000000000001</v>
      </c>
      <c r="AB160" s="110">
        <v>9.9999999999999978E-2</v>
      </c>
      <c r="AC160" s="113">
        <f t="shared" si="52"/>
        <v>183116.51416177908</v>
      </c>
      <c r="AD160" s="109"/>
      <c r="AE160" s="114">
        <f t="shared" si="43"/>
        <v>0</v>
      </c>
      <c r="AF160" s="112">
        <f t="shared" si="44"/>
        <v>0</v>
      </c>
      <c r="AG160" s="115">
        <f t="shared" si="45"/>
        <v>24.372808034932795</v>
      </c>
      <c r="AH160" s="114">
        <v>133.1</v>
      </c>
      <c r="AI160" s="114">
        <v>219.3012145650049</v>
      </c>
      <c r="AJ160" s="114">
        <v>835</v>
      </c>
      <c r="AK160" s="114">
        <v>600.00000000000011</v>
      </c>
      <c r="AL160" s="115">
        <f t="shared" si="54"/>
        <v>109.86990849706748</v>
      </c>
      <c r="AM160" s="115">
        <f t="shared" si="55"/>
        <v>98.882917647360742</v>
      </c>
      <c r="AN160" s="116">
        <f t="shared" si="56"/>
        <v>131580.72873900295</v>
      </c>
      <c r="AO160" s="116">
        <f t="shared" si="57"/>
        <v>29188.99165860215</v>
      </c>
      <c r="AP160" s="117">
        <f t="shared" si="58"/>
        <v>1</v>
      </c>
      <c r="AQ160" s="118">
        <f t="shared" si="59"/>
        <v>4.5078888054094683</v>
      </c>
      <c r="AR160" s="119" t="s">
        <v>783</v>
      </c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</row>
    <row r="161" spans="1:123">
      <c r="A161" s="248" t="s">
        <v>424</v>
      </c>
      <c r="B161" s="19" t="s">
        <v>652</v>
      </c>
      <c r="C161" s="21" t="s">
        <v>402</v>
      </c>
      <c r="D161" s="22">
        <v>0</v>
      </c>
      <c r="E161" s="23" t="s">
        <v>740</v>
      </c>
      <c r="F161" s="17"/>
      <c r="G161" s="24" t="s">
        <v>754</v>
      </c>
      <c r="H161" s="17"/>
      <c r="I161" s="17"/>
      <c r="J161" s="25">
        <v>143</v>
      </c>
      <c r="K161" s="176" t="s">
        <v>22</v>
      </c>
      <c r="L161" s="176" t="s">
        <v>30</v>
      </c>
      <c r="M161" s="177" t="s">
        <v>567</v>
      </c>
      <c r="N161" s="190" t="s">
        <v>35</v>
      </c>
      <c r="O161" s="176" t="s">
        <v>760</v>
      </c>
      <c r="P161" s="149">
        <v>0</v>
      </c>
      <c r="Q161" s="178" t="s">
        <v>25</v>
      </c>
      <c r="R161" s="178" t="s">
        <v>26</v>
      </c>
      <c r="S161" s="177" t="s">
        <v>26</v>
      </c>
      <c r="T161" s="179" t="s">
        <v>26</v>
      </c>
      <c r="U161" s="180">
        <v>0.9</v>
      </c>
      <c r="V161" s="180"/>
      <c r="W161" s="181">
        <f t="shared" si="53"/>
        <v>0.9</v>
      </c>
      <c r="X161" s="180"/>
      <c r="Y161" s="180"/>
      <c r="Z161" s="180"/>
      <c r="AA161" s="182">
        <v>0.19800000000000001</v>
      </c>
      <c r="AB161" s="180">
        <v>9.9999999999999978E-2</v>
      </c>
      <c r="AC161" s="113">
        <f t="shared" si="52"/>
        <v>183116.51416177908</v>
      </c>
      <c r="AD161" s="179"/>
      <c r="AE161" s="183">
        <f t="shared" si="43"/>
        <v>0</v>
      </c>
      <c r="AF161" s="182">
        <f t="shared" si="44"/>
        <v>0</v>
      </c>
      <c r="AG161" s="184">
        <f t="shared" si="45"/>
        <v>24.372808034932795</v>
      </c>
      <c r="AH161" s="183">
        <v>133.1</v>
      </c>
      <c r="AI161" s="183">
        <v>219.3012145650049</v>
      </c>
      <c r="AJ161" s="183">
        <v>835</v>
      </c>
      <c r="AK161" s="183">
        <v>600.00000000000011</v>
      </c>
      <c r="AL161" s="184">
        <f t="shared" si="54"/>
        <v>109.86990849706748</v>
      </c>
      <c r="AM161" s="184">
        <f t="shared" si="55"/>
        <v>98.882917647360742</v>
      </c>
      <c r="AN161" s="151">
        <f t="shared" si="56"/>
        <v>131580.72873900295</v>
      </c>
      <c r="AO161" s="151">
        <f t="shared" si="57"/>
        <v>29188.99165860215</v>
      </c>
      <c r="AP161" s="152">
        <f t="shared" si="58"/>
        <v>1</v>
      </c>
      <c r="AQ161" s="153">
        <f t="shared" si="59"/>
        <v>4.5078888054094683</v>
      </c>
      <c r="AR161" s="185" t="s">
        <v>783</v>
      </c>
    </row>
    <row r="162" spans="1:123" s="120" customFormat="1">
      <c r="A162" s="247" t="s">
        <v>424</v>
      </c>
      <c r="B162" s="103" t="s">
        <v>653</v>
      </c>
      <c r="C162" s="104" t="s">
        <v>402</v>
      </c>
      <c r="D162" s="33">
        <v>0</v>
      </c>
      <c r="E162" s="34" t="s">
        <v>740</v>
      </c>
      <c r="F162" s="35"/>
      <c r="G162" s="36" t="s">
        <v>754</v>
      </c>
      <c r="H162" s="35"/>
      <c r="I162" s="35"/>
      <c r="J162" s="37">
        <v>144</v>
      </c>
      <c r="K162" s="105" t="s">
        <v>22</v>
      </c>
      <c r="L162" s="105" t="s">
        <v>30</v>
      </c>
      <c r="M162" s="106" t="s">
        <v>567</v>
      </c>
      <c r="N162" s="154" t="s">
        <v>36</v>
      </c>
      <c r="O162" s="105" t="s">
        <v>760</v>
      </c>
      <c r="P162" s="107">
        <v>0</v>
      </c>
      <c r="Q162" s="108" t="s">
        <v>25</v>
      </c>
      <c r="R162" s="108" t="s">
        <v>26</v>
      </c>
      <c r="S162" s="106" t="s">
        <v>26</v>
      </c>
      <c r="T162" s="109" t="s">
        <v>26</v>
      </c>
      <c r="U162" s="110">
        <v>0.9</v>
      </c>
      <c r="V162" s="110"/>
      <c r="W162" s="111">
        <f t="shared" si="53"/>
        <v>0.9</v>
      </c>
      <c r="X162" s="110"/>
      <c r="Y162" s="110"/>
      <c r="Z162" s="110"/>
      <c r="AA162" s="112">
        <v>0.19800000000000001</v>
      </c>
      <c r="AB162" s="110">
        <v>9.9999999999999978E-2</v>
      </c>
      <c r="AC162" s="113">
        <f t="shared" si="52"/>
        <v>183116.51416177908</v>
      </c>
      <c r="AD162" s="109"/>
      <c r="AE162" s="114">
        <f t="shared" si="43"/>
        <v>0</v>
      </c>
      <c r="AF162" s="112">
        <f t="shared" si="44"/>
        <v>0</v>
      </c>
      <c r="AG162" s="115">
        <f t="shared" si="45"/>
        <v>24.372808034932795</v>
      </c>
      <c r="AH162" s="114">
        <v>133.1</v>
      </c>
      <c r="AI162" s="114">
        <v>219.3012145650049</v>
      </c>
      <c r="AJ162" s="114">
        <v>835</v>
      </c>
      <c r="AK162" s="114">
        <v>600.00000000000011</v>
      </c>
      <c r="AL162" s="115">
        <f t="shared" si="54"/>
        <v>109.86990849706748</v>
      </c>
      <c r="AM162" s="115">
        <f t="shared" si="55"/>
        <v>98.882917647360742</v>
      </c>
      <c r="AN162" s="116">
        <f t="shared" si="56"/>
        <v>131580.72873900295</v>
      </c>
      <c r="AO162" s="116">
        <f t="shared" si="57"/>
        <v>29188.99165860215</v>
      </c>
      <c r="AP162" s="117">
        <f t="shared" si="58"/>
        <v>1</v>
      </c>
      <c r="AQ162" s="118">
        <f t="shared" si="59"/>
        <v>4.5078888054094683</v>
      </c>
      <c r="AR162" s="119" t="s">
        <v>783</v>
      </c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</row>
    <row r="163" spans="1:123">
      <c r="A163" s="248" t="s">
        <v>511</v>
      </c>
      <c r="B163" s="19" t="s">
        <v>294</v>
      </c>
      <c r="C163" s="21" t="s">
        <v>342</v>
      </c>
      <c r="D163" s="22">
        <v>1</v>
      </c>
      <c r="E163" s="23" t="s">
        <v>740</v>
      </c>
      <c r="F163" s="17"/>
      <c r="G163" s="24">
        <v>1865</v>
      </c>
      <c r="H163" s="17"/>
      <c r="I163" s="17"/>
      <c r="J163" s="25">
        <v>339</v>
      </c>
      <c r="K163" s="176" t="s">
        <v>159</v>
      </c>
      <c r="L163" s="176" t="s">
        <v>164</v>
      </c>
      <c r="M163" s="177" t="s">
        <v>577</v>
      </c>
      <c r="N163" s="190" t="s">
        <v>46</v>
      </c>
      <c r="O163" s="176" t="s">
        <v>760</v>
      </c>
      <c r="P163" s="149">
        <v>0</v>
      </c>
      <c r="Q163" s="178" t="s">
        <v>25</v>
      </c>
      <c r="R163" s="178" t="s">
        <v>26</v>
      </c>
      <c r="S163" s="177" t="s">
        <v>26</v>
      </c>
      <c r="T163" s="179" t="s">
        <v>26</v>
      </c>
      <c r="U163" s="180">
        <v>0.81</v>
      </c>
      <c r="V163" s="180">
        <v>0.18999999999999995</v>
      </c>
      <c r="W163" s="181">
        <f t="shared" si="53"/>
        <v>1</v>
      </c>
      <c r="X163" s="180">
        <v>0.05</v>
      </c>
      <c r="Y163" s="180">
        <v>0</v>
      </c>
      <c r="Z163" s="180">
        <v>6.8000000000000005E-2</v>
      </c>
      <c r="AA163" s="182">
        <v>0.19800000000000001</v>
      </c>
      <c r="AB163" s="180"/>
      <c r="AC163" s="113">
        <f t="shared" si="52"/>
        <v>559300</v>
      </c>
      <c r="AD163" s="179"/>
      <c r="AE163" s="183">
        <f t="shared" si="43"/>
        <v>0</v>
      </c>
      <c r="AF163" s="182">
        <f t="shared" si="44"/>
        <v>0</v>
      </c>
      <c r="AG163" s="184">
        <f t="shared" si="45"/>
        <v>74.386899999999997</v>
      </c>
      <c r="AH163" s="183">
        <v>133</v>
      </c>
      <c r="AI163" s="183">
        <v>235</v>
      </c>
      <c r="AJ163" s="183">
        <v>2380</v>
      </c>
      <c r="AK163" s="183">
        <v>450</v>
      </c>
      <c r="AL163" s="184">
        <f t="shared" si="54"/>
        <v>251.685</v>
      </c>
      <c r="AM163" s="184">
        <f t="shared" si="55"/>
        <v>203.86485000000002</v>
      </c>
      <c r="AN163" s="151">
        <f t="shared" si="56"/>
        <v>105750</v>
      </c>
      <c r="AO163" s="151">
        <f t="shared" si="57"/>
        <v>31255</v>
      </c>
      <c r="AP163" s="152">
        <f t="shared" si="58"/>
        <v>0.81</v>
      </c>
      <c r="AQ163" s="153">
        <f t="shared" si="59"/>
        <v>2.7406015037593989</v>
      </c>
      <c r="AR163" s="185" t="s">
        <v>783</v>
      </c>
    </row>
    <row r="164" spans="1:123" s="120" customFormat="1">
      <c r="A164" s="247" t="s">
        <v>518</v>
      </c>
      <c r="B164" s="103" t="s">
        <v>305</v>
      </c>
      <c r="C164" s="104" t="s">
        <v>337</v>
      </c>
      <c r="D164" s="33">
        <v>1</v>
      </c>
      <c r="E164" s="34" t="s">
        <v>740</v>
      </c>
      <c r="F164" s="35"/>
      <c r="G164" s="36">
        <v>1989</v>
      </c>
      <c r="H164" s="35"/>
      <c r="I164" s="35"/>
      <c r="J164" s="37">
        <v>351</v>
      </c>
      <c r="K164" s="105" t="s">
        <v>159</v>
      </c>
      <c r="L164" s="105" t="s">
        <v>173</v>
      </c>
      <c r="M164" s="106" t="s">
        <v>578</v>
      </c>
      <c r="N164" s="154" t="s">
        <v>174</v>
      </c>
      <c r="O164" s="105" t="s">
        <v>760</v>
      </c>
      <c r="P164" s="107">
        <v>0</v>
      </c>
      <c r="Q164" s="108" t="s">
        <v>25</v>
      </c>
      <c r="R164" s="108" t="s">
        <v>759</v>
      </c>
      <c r="S164" s="106" t="s">
        <v>26</v>
      </c>
      <c r="T164" s="109" t="s">
        <v>26</v>
      </c>
      <c r="U164" s="110">
        <v>0.74</v>
      </c>
      <c r="V164" s="110">
        <v>0.26</v>
      </c>
      <c r="W164" s="111">
        <f t="shared" si="53"/>
        <v>1</v>
      </c>
      <c r="X164" s="110">
        <v>0.05</v>
      </c>
      <c r="Y164" s="110">
        <v>0.05</v>
      </c>
      <c r="Z164" s="110">
        <v>6.8000000000000005E-2</v>
      </c>
      <c r="AA164" s="112">
        <v>0.19800000000000001</v>
      </c>
      <c r="AB164" s="110"/>
      <c r="AC164" s="113">
        <f t="shared" si="52"/>
        <v>142975</v>
      </c>
      <c r="AD164" s="109"/>
      <c r="AE164" s="114">
        <f t="shared" si="43"/>
        <v>0</v>
      </c>
      <c r="AF164" s="112">
        <f t="shared" si="44"/>
        <v>0</v>
      </c>
      <c r="AG164" s="115">
        <f t="shared" si="45"/>
        <v>19.015675000000002</v>
      </c>
      <c r="AH164" s="114">
        <v>133</v>
      </c>
      <c r="AI164" s="114">
        <v>175</v>
      </c>
      <c r="AJ164" s="114">
        <v>817</v>
      </c>
      <c r="AK164" s="114">
        <v>457.14</v>
      </c>
      <c r="AL164" s="115">
        <f t="shared" si="54"/>
        <v>65.359591499999993</v>
      </c>
      <c r="AM164" s="115">
        <f t="shared" si="55"/>
        <v>48.366097709999991</v>
      </c>
      <c r="AN164" s="116">
        <f t="shared" si="56"/>
        <v>79999.5</v>
      </c>
      <c r="AO164" s="116">
        <f t="shared" si="57"/>
        <v>23275</v>
      </c>
      <c r="AP164" s="117">
        <f t="shared" si="58"/>
        <v>0.74</v>
      </c>
      <c r="AQ164" s="118">
        <f t="shared" si="59"/>
        <v>2.5434857142857137</v>
      </c>
      <c r="AR164" s="119" t="s">
        <v>783</v>
      </c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</row>
    <row r="165" spans="1:123">
      <c r="A165" s="257" t="s">
        <v>559</v>
      </c>
      <c r="B165" s="19" t="s">
        <v>552</v>
      </c>
      <c r="C165" s="19"/>
      <c r="D165" s="22">
        <v>1</v>
      </c>
      <c r="E165" s="23" t="s">
        <v>739</v>
      </c>
      <c r="F165" s="17"/>
      <c r="G165" s="24">
        <v>1890</v>
      </c>
      <c r="H165" s="17"/>
      <c r="I165" s="17"/>
      <c r="J165" s="25"/>
      <c r="K165" s="176" t="s">
        <v>159</v>
      </c>
      <c r="L165" s="176" t="s">
        <v>170</v>
      </c>
      <c r="M165" s="177" t="s">
        <v>577</v>
      </c>
      <c r="N165" s="190" t="s">
        <v>24</v>
      </c>
      <c r="O165" s="176" t="s">
        <v>760</v>
      </c>
      <c r="P165" s="149">
        <v>0</v>
      </c>
      <c r="Q165" s="178" t="s">
        <v>25</v>
      </c>
      <c r="R165" s="178" t="s">
        <v>26</v>
      </c>
      <c r="S165" s="177" t="s">
        <v>26</v>
      </c>
      <c r="T165" s="179" t="s">
        <v>26</v>
      </c>
      <c r="U165" s="180">
        <v>0.72</v>
      </c>
      <c r="V165" s="180">
        <v>0.28000000000000003</v>
      </c>
      <c r="W165" s="181">
        <f t="shared" si="53"/>
        <v>1</v>
      </c>
      <c r="X165" s="180"/>
      <c r="Y165" s="180"/>
      <c r="Z165" s="180"/>
      <c r="AA165" s="182">
        <v>0.19800000000000001</v>
      </c>
      <c r="AB165" s="180"/>
      <c r="AC165" s="113">
        <f t="shared" si="52"/>
        <v>1349819</v>
      </c>
      <c r="AD165" s="179"/>
      <c r="AE165" s="183">
        <f t="shared" si="43"/>
        <v>0</v>
      </c>
      <c r="AF165" s="182">
        <f t="shared" si="44"/>
        <v>0</v>
      </c>
      <c r="AG165" s="184">
        <f t="shared" si="45"/>
        <v>179.525927</v>
      </c>
      <c r="AH165" s="183">
        <v>133</v>
      </c>
      <c r="AI165" s="183">
        <v>223</v>
      </c>
      <c r="AJ165" s="183">
        <v>6053</v>
      </c>
      <c r="AK165" s="183">
        <v>550</v>
      </c>
      <c r="AL165" s="184">
        <f t="shared" si="54"/>
        <v>742.40044999999998</v>
      </c>
      <c r="AM165" s="184">
        <f t="shared" si="55"/>
        <v>534.528324</v>
      </c>
      <c r="AN165" s="151">
        <f t="shared" si="56"/>
        <v>122650</v>
      </c>
      <c r="AO165" s="151">
        <f t="shared" si="57"/>
        <v>29659</v>
      </c>
      <c r="AP165" s="152">
        <f t="shared" si="58"/>
        <v>0.72</v>
      </c>
      <c r="AQ165" s="153">
        <f t="shared" si="59"/>
        <v>2.9774436090225564</v>
      </c>
      <c r="AR165" s="185" t="s">
        <v>783</v>
      </c>
    </row>
    <row r="166" spans="1:123" s="120" customFormat="1">
      <c r="A166" s="247" t="s">
        <v>773</v>
      </c>
      <c r="B166" s="130" t="s">
        <v>772</v>
      </c>
      <c r="D166" s="33">
        <v>1</v>
      </c>
      <c r="E166" s="134" t="s">
        <v>740</v>
      </c>
      <c r="G166" s="131">
        <v>1989</v>
      </c>
      <c r="K166" s="105" t="s">
        <v>159</v>
      </c>
      <c r="L166" s="105" t="s">
        <v>173</v>
      </c>
      <c r="M166" s="106" t="s">
        <v>578</v>
      </c>
      <c r="N166" s="154" t="s">
        <v>77</v>
      </c>
      <c r="O166" s="105" t="s">
        <v>760</v>
      </c>
      <c r="P166" s="107">
        <v>0</v>
      </c>
      <c r="Q166" s="108" t="s">
        <v>25</v>
      </c>
      <c r="R166" s="108" t="s">
        <v>759</v>
      </c>
      <c r="S166" s="106" t="s">
        <v>26</v>
      </c>
      <c r="T166" s="109" t="s">
        <v>26</v>
      </c>
      <c r="U166" s="110">
        <v>0.74</v>
      </c>
      <c r="V166" s="110">
        <v>0.26</v>
      </c>
      <c r="W166" s="111">
        <f t="shared" si="53"/>
        <v>1</v>
      </c>
      <c r="X166" s="110">
        <v>0.05</v>
      </c>
      <c r="Y166" s="110">
        <v>0.05</v>
      </c>
      <c r="Z166" s="110">
        <v>6.8000000000000005E-2</v>
      </c>
      <c r="AA166" s="112">
        <v>0.19800000000000001</v>
      </c>
      <c r="AB166" s="110"/>
      <c r="AC166" s="113">
        <f t="shared" si="52"/>
        <v>131950</v>
      </c>
      <c r="AD166" s="109"/>
      <c r="AE166" s="114">
        <f t="shared" si="43"/>
        <v>0</v>
      </c>
      <c r="AF166" s="112">
        <f t="shared" si="44"/>
        <v>0</v>
      </c>
      <c r="AG166" s="115">
        <f t="shared" si="45"/>
        <v>17.54935</v>
      </c>
      <c r="AH166" s="114">
        <v>133</v>
      </c>
      <c r="AI166" s="114">
        <v>175</v>
      </c>
      <c r="AJ166" s="114">
        <v>754</v>
      </c>
      <c r="AK166" s="114">
        <v>457.14</v>
      </c>
      <c r="AL166" s="115">
        <f t="shared" si="54"/>
        <v>60.319623</v>
      </c>
      <c r="AM166" s="115">
        <f t="shared" si="55"/>
        <v>44.636521019999996</v>
      </c>
      <c r="AN166" s="116">
        <f t="shared" si="56"/>
        <v>79999.5</v>
      </c>
      <c r="AO166" s="116">
        <f t="shared" si="57"/>
        <v>23275</v>
      </c>
      <c r="AP166" s="117">
        <f t="shared" si="58"/>
        <v>0.74</v>
      </c>
      <c r="AQ166" s="118">
        <f t="shared" si="59"/>
        <v>2.5434857142857141</v>
      </c>
      <c r="AR166" s="119" t="s">
        <v>783</v>
      </c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</row>
    <row r="167" spans="1:123">
      <c r="A167" s="248" t="s">
        <v>775</v>
      </c>
      <c r="B167" s="20" t="s">
        <v>24</v>
      </c>
      <c r="D167" s="18" t="s">
        <v>705</v>
      </c>
      <c r="E167" s="16" t="s">
        <v>739</v>
      </c>
      <c r="G167" s="18">
        <v>2831</v>
      </c>
      <c r="K167" s="176" t="s">
        <v>159</v>
      </c>
      <c r="L167" s="176" t="s">
        <v>858</v>
      </c>
      <c r="M167" s="177" t="s">
        <v>577</v>
      </c>
      <c r="N167" s="190" t="s">
        <v>24</v>
      </c>
      <c r="O167" s="176" t="s">
        <v>776</v>
      </c>
      <c r="P167" s="149" t="s">
        <v>26</v>
      </c>
      <c r="Q167" s="178" t="s">
        <v>25</v>
      </c>
      <c r="R167" s="178" t="s">
        <v>26</v>
      </c>
      <c r="S167" s="177">
        <v>2027</v>
      </c>
      <c r="T167" s="179">
        <v>46733</v>
      </c>
      <c r="U167" s="180">
        <v>0.77</v>
      </c>
      <c r="V167" s="180">
        <v>0.23</v>
      </c>
      <c r="W167" s="181">
        <f t="shared" si="53"/>
        <v>1</v>
      </c>
      <c r="X167" s="180"/>
      <c r="Y167" s="180"/>
      <c r="Z167" s="180"/>
      <c r="AA167" s="182">
        <v>0</v>
      </c>
      <c r="AB167" s="180"/>
      <c r="AC167" s="113">
        <f t="shared" si="52"/>
        <v>1048100</v>
      </c>
      <c r="AD167" s="179"/>
      <c r="AE167" s="183">
        <v>0</v>
      </c>
      <c r="AF167" s="182">
        <v>0</v>
      </c>
      <c r="AG167" s="184">
        <v>127</v>
      </c>
      <c r="AH167" s="183">
        <v>133</v>
      </c>
      <c r="AI167" s="183">
        <v>223</v>
      </c>
      <c r="AJ167" s="183">
        <v>4700</v>
      </c>
      <c r="AK167" s="183">
        <v>550</v>
      </c>
      <c r="AL167" s="184">
        <f t="shared" si="54"/>
        <v>576.45500000000004</v>
      </c>
      <c r="AM167" s="184">
        <f t="shared" si="55"/>
        <v>443.87035000000003</v>
      </c>
      <c r="AN167" s="151">
        <f t="shared" si="56"/>
        <v>122650</v>
      </c>
      <c r="AO167" s="151">
        <f t="shared" si="57"/>
        <v>29659</v>
      </c>
      <c r="AP167" s="152">
        <f t="shared" si="58"/>
        <v>0.77</v>
      </c>
      <c r="AQ167" s="153">
        <f t="shared" si="59"/>
        <v>3.4950421259842521</v>
      </c>
      <c r="AR167" s="185" t="s">
        <v>783</v>
      </c>
    </row>
    <row r="168" spans="1:123">
      <c r="A168" s="248" t="s">
        <v>513</v>
      </c>
      <c r="B168" s="19" t="s">
        <v>297</v>
      </c>
      <c r="C168" s="21" t="s">
        <v>341</v>
      </c>
      <c r="D168" s="22">
        <v>1</v>
      </c>
      <c r="E168" s="23" t="s">
        <v>740</v>
      </c>
      <c r="F168" s="17"/>
      <c r="G168" s="24">
        <v>2107</v>
      </c>
      <c r="H168" s="17"/>
      <c r="I168" s="17"/>
      <c r="J168" s="25">
        <v>342</v>
      </c>
      <c r="K168" s="176" t="s">
        <v>159</v>
      </c>
      <c r="L168" s="176" t="s">
        <v>166</v>
      </c>
      <c r="M168" s="177" t="s">
        <v>577</v>
      </c>
      <c r="N168" s="190" t="s">
        <v>45</v>
      </c>
      <c r="O168" s="176" t="s">
        <v>756</v>
      </c>
      <c r="P168" s="149">
        <v>10682.93</v>
      </c>
      <c r="Q168" s="178" t="s">
        <v>25</v>
      </c>
      <c r="R168" s="178" t="s">
        <v>26</v>
      </c>
      <c r="S168" s="177">
        <v>2030</v>
      </c>
      <c r="T168" s="179">
        <v>47848</v>
      </c>
      <c r="U168" s="180">
        <v>0.7</v>
      </c>
      <c r="V168" s="180">
        <v>0.30000000000000004</v>
      </c>
      <c r="W168" s="181">
        <f t="shared" si="53"/>
        <v>1</v>
      </c>
      <c r="X168" s="180">
        <v>0.05</v>
      </c>
      <c r="Y168" s="180">
        <v>9.0000000000000011E-2</v>
      </c>
      <c r="Z168" s="180">
        <v>6.8000000000000005E-2</v>
      </c>
      <c r="AA168" s="182">
        <v>0.19800000000000001</v>
      </c>
      <c r="AB168" s="180"/>
      <c r="AC168" s="113">
        <f t="shared" si="52"/>
        <v>294045.28709462419</v>
      </c>
      <c r="AD168" s="179"/>
      <c r="AE168" s="183">
        <f t="shared" ref="AE168:AE216" si="60">P168/10^6</f>
        <v>1.068293E-2</v>
      </c>
      <c r="AF168" s="182">
        <f t="shared" ref="AF168:AF216" si="61">IF(AL168=0,0,AE168/AL168)</f>
        <v>7.2661800537970984E-5</v>
      </c>
      <c r="AG168" s="184">
        <f t="shared" ref="AG168:AG216" si="62">(AH168*AI168*AJ168)/10^6</f>
        <v>39.108023183585019</v>
      </c>
      <c r="AH168" s="183">
        <v>133</v>
      </c>
      <c r="AI168" s="183">
        <v>264.905664049211</v>
      </c>
      <c r="AJ168" s="183">
        <v>1110</v>
      </c>
      <c r="AK168" s="183">
        <v>500.00000000000006</v>
      </c>
      <c r="AL168" s="184">
        <f t="shared" si="54"/>
        <v>147.02264354731213</v>
      </c>
      <c r="AM168" s="184">
        <f t="shared" si="55"/>
        <v>102.91585048311849</v>
      </c>
      <c r="AN168" s="151">
        <f t="shared" si="56"/>
        <v>132452.83202460551</v>
      </c>
      <c r="AO168" s="151">
        <f t="shared" si="57"/>
        <v>35232.453318545064</v>
      </c>
      <c r="AP168" s="152">
        <f t="shared" si="58"/>
        <v>0.7</v>
      </c>
      <c r="AQ168" s="153">
        <f t="shared" si="59"/>
        <v>2.6308602893023143</v>
      </c>
      <c r="AR168" s="185" t="s">
        <v>783</v>
      </c>
    </row>
    <row r="169" spans="1:123" s="120" customFormat="1">
      <c r="A169" s="247" t="s">
        <v>449</v>
      </c>
      <c r="B169" s="103" t="s">
        <v>248</v>
      </c>
      <c r="C169" s="104" t="s">
        <v>388</v>
      </c>
      <c r="D169" s="33">
        <v>1</v>
      </c>
      <c r="E169" s="34" t="s">
        <v>740</v>
      </c>
      <c r="F169" s="35"/>
      <c r="G169" s="36">
        <v>2288</v>
      </c>
      <c r="H169" s="35"/>
      <c r="I169" s="35"/>
      <c r="J169" s="37">
        <v>215</v>
      </c>
      <c r="K169" s="105" t="s">
        <v>103</v>
      </c>
      <c r="L169" s="105" t="s">
        <v>104</v>
      </c>
      <c r="M169" s="106" t="s">
        <v>572</v>
      </c>
      <c r="N169" s="154" t="s">
        <v>46</v>
      </c>
      <c r="O169" s="105" t="s">
        <v>760</v>
      </c>
      <c r="P169" s="107">
        <v>0</v>
      </c>
      <c r="Q169" s="108" t="s">
        <v>25</v>
      </c>
      <c r="R169" s="108" t="s">
        <v>26</v>
      </c>
      <c r="S169" s="106">
        <v>2030</v>
      </c>
      <c r="T169" s="109">
        <v>47756</v>
      </c>
      <c r="U169" s="110">
        <v>0.45834999999999998</v>
      </c>
      <c r="V169" s="110">
        <v>0.5</v>
      </c>
      <c r="W169" s="111">
        <f t="shared" si="53"/>
        <v>0.95835000000000004</v>
      </c>
      <c r="X169" s="110">
        <v>0.05</v>
      </c>
      <c r="Y169" s="110">
        <v>0</v>
      </c>
      <c r="Z169" s="110">
        <v>6.8000000000000005E-2</v>
      </c>
      <c r="AA169" s="112">
        <v>0.19800000000000001</v>
      </c>
      <c r="AB169" s="110">
        <v>4.1649999999999965E-2</v>
      </c>
      <c r="AC169" s="113">
        <f t="shared" si="52"/>
        <v>242000</v>
      </c>
      <c r="AD169" s="109"/>
      <c r="AE169" s="114">
        <f t="shared" si="60"/>
        <v>0</v>
      </c>
      <c r="AF169" s="112">
        <f t="shared" si="61"/>
        <v>0</v>
      </c>
      <c r="AG169" s="115">
        <f t="shared" si="62"/>
        <v>39.445999999999998</v>
      </c>
      <c r="AH169" s="114">
        <v>163</v>
      </c>
      <c r="AI169" s="114">
        <v>220</v>
      </c>
      <c r="AJ169" s="114">
        <v>1100</v>
      </c>
      <c r="AK169" s="114">
        <v>600</v>
      </c>
      <c r="AL169" s="115">
        <f t="shared" si="54"/>
        <v>145.19999999999999</v>
      </c>
      <c r="AM169" s="115">
        <f t="shared" si="55"/>
        <v>66.552419999999998</v>
      </c>
      <c r="AN169" s="116">
        <f t="shared" si="56"/>
        <v>132000</v>
      </c>
      <c r="AO169" s="116">
        <f t="shared" si="57"/>
        <v>35860</v>
      </c>
      <c r="AP169" s="117">
        <f t="shared" si="58"/>
        <v>0.49999999999999994</v>
      </c>
      <c r="AQ169" s="118">
        <f t="shared" si="59"/>
        <v>1.8404907975460119</v>
      </c>
      <c r="AR169" s="119" t="s">
        <v>783</v>
      </c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</row>
    <row r="170" spans="1:123">
      <c r="A170" s="248" t="s">
        <v>453</v>
      </c>
      <c r="B170" s="19" t="s">
        <v>252</v>
      </c>
      <c r="C170" s="21" t="s">
        <v>386</v>
      </c>
      <c r="D170" s="22">
        <v>1</v>
      </c>
      <c r="E170" s="23" t="s">
        <v>740</v>
      </c>
      <c r="F170" s="17"/>
      <c r="G170" s="24">
        <v>2299</v>
      </c>
      <c r="H170" s="17"/>
      <c r="I170" s="17"/>
      <c r="J170" s="25">
        <v>221</v>
      </c>
      <c r="K170" s="176" t="s">
        <v>103</v>
      </c>
      <c r="L170" s="176" t="s">
        <v>139</v>
      </c>
      <c r="M170" s="177" t="s">
        <v>574</v>
      </c>
      <c r="N170" s="190" t="s">
        <v>111</v>
      </c>
      <c r="O170" s="176" t="s">
        <v>760</v>
      </c>
      <c r="P170" s="149">
        <v>0</v>
      </c>
      <c r="Q170" s="178" t="s">
        <v>73</v>
      </c>
      <c r="R170" s="178" t="s">
        <v>26</v>
      </c>
      <c r="S170" s="177">
        <v>2030</v>
      </c>
      <c r="T170" s="179">
        <v>47756</v>
      </c>
      <c r="U170" s="180">
        <v>0.41339999999999999</v>
      </c>
      <c r="V170" s="180">
        <v>0.38</v>
      </c>
      <c r="W170" s="181">
        <f t="shared" si="53"/>
        <v>0.79339999999999999</v>
      </c>
      <c r="X170" s="180">
        <v>0.05</v>
      </c>
      <c r="Y170" s="180">
        <v>9.0000000000000011E-2</v>
      </c>
      <c r="Z170" s="180">
        <v>6.8000000000000005E-2</v>
      </c>
      <c r="AA170" s="182">
        <v>0.19800000000000001</v>
      </c>
      <c r="AB170" s="180">
        <v>0.20660000000000001</v>
      </c>
      <c r="AC170" s="113">
        <f t="shared" si="52"/>
        <v>213918.34</v>
      </c>
      <c r="AD170" s="179"/>
      <c r="AE170" s="183">
        <f t="shared" si="60"/>
        <v>0</v>
      </c>
      <c r="AF170" s="182">
        <f t="shared" si="61"/>
        <v>0</v>
      </c>
      <c r="AG170" s="184">
        <f t="shared" si="62"/>
        <v>77.010602399999996</v>
      </c>
      <c r="AH170" s="183">
        <v>360</v>
      </c>
      <c r="AI170" s="183">
        <v>250.19688888888888</v>
      </c>
      <c r="AJ170" s="183">
        <v>855</v>
      </c>
      <c r="AK170" s="183">
        <v>2000</v>
      </c>
      <c r="AL170" s="184">
        <f t="shared" si="54"/>
        <v>427.83668</v>
      </c>
      <c r="AM170" s="184">
        <f t="shared" si="55"/>
        <v>176.86768351199999</v>
      </c>
      <c r="AN170" s="151">
        <f t="shared" si="56"/>
        <v>500393.77777777775</v>
      </c>
      <c r="AO170" s="151">
        <f t="shared" si="57"/>
        <v>90070.87999999999</v>
      </c>
      <c r="AP170" s="152">
        <f t="shared" si="58"/>
        <v>0.62</v>
      </c>
      <c r="AQ170" s="153">
        <f t="shared" si="59"/>
        <v>3.4444444444444446</v>
      </c>
      <c r="AR170" s="185" t="s">
        <v>783</v>
      </c>
    </row>
    <row r="171" spans="1:123" s="120" customFormat="1">
      <c r="A171" s="247" t="s">
        <v>461</v>
      </c>
      <c r="B171" s="103" t="s">
        <v>645</v>
      </c>
      <c r="C171" s="104" t="s">
        <v>379</v>
      </c>
      <c r="D171" s="33">
        <v>1</v>
      </c>
      <c r="E171" s="34" t="s">
        <v>740</v>
      </c>
      <c r="F171" s="35"/>
      <c r="G171" s="36">
        <v>2269</v>
      </c>
      <c r="H171" s="35"/>
      <c r="I171" s="35"/>
      <c r="J171" s="37">
        <v>239</v>
      </c>
      <c r="K171" s="105" t="s">
        <v>103</v>
      </c>
      <c r="L171" s="105" t="s">
        <v>119</v>
      </c>
      <c r="M171" s="106" t="s">
        <v>574</v>
      </c>
      <c r="N171" s="154" t="s">
        <v>121</v>
      </c>
      <c r="O171" s="105" t="s">
        <v>760</v>
      </c>
      <c r="P171" s="107">
        <v>0</v>
      </c>
      <c r="Q171" s="108" t="s">
        <v>25</v>
      </c>
      <c r="R171" s="108" t="s">
        <v>759</v>
      </c>
      <c r="S171" s="106">
        <v>2029</v>
      </c>
      <c r="T171" s="109">
        <v>47299</v>
      </c>
      <c r="U171" s="110">
        <v>0.6875</v>
      </c>
      <c r="V171" s="110">
        <v>0.25</v>
      </c>
      <c r="W171" s="111">
        <f t="shared" si="53"/>
        <v>0.9375</v>
      </c>
      <c r="X171" s="110">
        <v>0.05</v>
      </c>
      <c r="Y171" s="110">
        <v>0</v>
      </c>
      <c r="Z171" s="110">
        <v>6.8000000000000005E-2</v>
      </c>
      <c r="AA171" s="112">
        <v>0.19800000000000001</v>
      </c>
      <c r="AB171" s="110">
        <v>6.25E-2</v>
      </c>
      <c r="AC171" s="113">
        <f t="shared" si="52"/>
        <v>241625.12913223141</v>
      </c>
      <c r="AD171" s="109"/>
      <c r="AE171" s="114">
        <f t="shared" si="60"/>
        <v>0</v>
      </c>
      <c r="AF171" s="112">
        <f t="shared" si="61"/>
        <v>0</v>
      </c>
      <c r="AG171" s="115">
        <f t="shared" si="62"/>
        <v>39.384896048553721</v>
      </c>
      <c r="AH171" s="114">
        <v>163</v>
      </c>
      <c r="AI171" s="114">
        <v>249.87086776859505</v>
      </c>
      <c r="AJ171" s="114">
        <v>967</v>
      </c>
      <c r="AK171" s="114">
        <v>800</v>
      </c>
      <c r="AL171" s="115">
        <f t="shared" si="54"/>
        <v>193.30010330578511</v>
      </c>
      <c r="AM171" s="115">
        <f t="shared" si="55"/>
        <v>132.89382102272725</v>
      </c>
      <c r="AN171" s="116">
        <f t="shared" si="56"/>
        <v>199896.69421487604</v>
      </c>
      <c r="AO171" s="116">
        <f t="shared" si="57"/>
        <v>40728.951446280989</v>
      </c>
      <c r="AP171" s="117">
        <f t="shared" si="58"/>
        <v>0.75</v>
      </c>
      <c r="AQ171" s="118">
        <f t="shared" si="59"/>
        <v>3.6809815950920242</v>
      </c>
      <c r="AR171" s="119" t="s">
        <v>783</v>
      </c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</row>
    <row r="172" spans="1:123">
      <c r="A172" s="248" t="s">
        <v>466</v>
      </c>
      <c r="B172" s="19" t="s">
        <v>264</v>
      </c>
      <c r="C172" s="21" t="s">
        <v>376</v>
      </c>
      <c r="D172" s="22">
        <v>1</v>
      </c>
      <c r="E172" s="23" t="s">
        <v>740</v>
      </c>
      <c r="F172" s="17"/>
      <c r="G172" s="24">
        <v>2286</v>
      </c>
      <c r="H172" s="17"/>
      <c r="I172" s="17"/>
      <c r="J172" s="25">
        <v>251</v>
      </c>
      <c r="K172" s="176" t="s">
        <v>103</v>
      </c>
      <c r="L172" s="176" t="s">
        <v>124</v>
      </c>
      <c r="M172" s="177" t="s">
        <v>583</v>
      </c>
      <c r="N172" s="190" t="s">
        <v>46</v>
      </c>
      <c r="O172" s="176" t="s">
        <v>760</v>
      </c>
      <c r="P172" s="149">
        <v>0</v>
      </c>
      <c r="Q172" s="178" t="s">
        <v>25</v>
      </c>
      <c r="R172" s="178" t="s">
        <v>26</v>
      </c>
      <c r="S172" s="177">
        <v>2030</v>
      </c>
      <c r="T172" s="179">
        <v>47664</v>
      </c>
      <c r="U172" s="180">
        <v>0.45</v>
      </c>
      <c r="V172" s="180">
        <v>0.5</v>
      </c>
      <c r="W172" s="181">
        <f t="shared" si="53"/>
        <v>0.95</v>
      </c>
      <c r="X172" s="180">
        <v>0.05</v>
      </c>
      <c r="Y172" s="180">
        <v>9.0000000000000011E-2</v>
      </c>
      <c r="Z172" s="180">
        <v>6.8000000000000005E-2</v>
      </c>
      <c r="AA172" s="182">
        <v>0.19800000000000001</v>
      </c>
      <c r="AB172" s="180">
        <v>5.0000000000000044E-2</v>
      </c>
      <c r="AC172" s="113">
        <f t="shared" si="52"/>
        <v>308574.72199999995</v>
      </c>
      <c r="AD172" s="179"/>
      <c r="AE172" s="183">
        <f t="shared" si="60"/>
        <v>0</v>
      </c>
      <c r="AF172" s="182">
        <f t="shared" si="61"/>
        <v>0</v>
      </c>
      <c r="AG172" s="184">
        <f t="shared" si="62"/>
        <v>50.297679685999995</v>
      </c>
      <c r="AH172" s="183">
        <v>163</v>
      </c>
      <c r="AI172" s="183">
        <v>299.00651356589145</v>
      </c>
      <c r="AJ172" s="183">
        <v>1032</v>
      </c>
      <c r="AK172" s="183">
        <v>605</v>
      </c>
      <c r="AL172" s="184">
        <f t="shared" si="54"/>
        <v>186.68770680999998</v>
      </c>
      <c r="AM172" s="184">
        <f t="shared" si="55"/>
        <v>84.009468064499998</v>
      </c>
      <c r="AN172" s="151">
        <f t="shared" si="56"/>
        <v>180898.94070736432</v>
      </c>
      <c r="AO172" s="151">
        <f t="shared" si="57"/>
        <v>48738.061711240305</v>
      </c>
      <c r="AP172" s="152">
        <f t="shared" si="58"/>
        <v>0.5</v>
      </c>
      <c r="AQ172" s="153">
        <f t="shared" si="59"/>
        <v>1.8558282208588956</v>
      </c>
      <c r="AR172" s="185" t="s">
        <v>783</v>
      </c>
    </row>
    <row r="173" spans="1:123" s="120" customFormat="1">
      <c r="A173" s="247" t="s">
        <v>475</v>
      </c>
      <c r="B173" s="103" t="s">
        <v>278</v>
      </c>
      <c r="C173" s="104" t="s">
        <v>368</v>
      </c>
      <c r="D173" s="33">
        <v>0</v>
      </c>
      <c r="E173" s="34" t="s">
        <v>740</v>
      </c>
      <c r="F173" s="35"/>
      <c r="G173" s="36">
        <v>2290</v>
      </c>
      <c r="H173" s="35"/>
      <c r="I173" s="35"/>
      <c r="J173" s="37">
        <v>265</v>
      </c>
      <c r="K173" s="105" t="s">
        <v>103</v>
      </c>
      <c r="L173" s="105" t="s">
        <v>138</v>
      </c>
      <c r="M173" s="106" t="s">
        <v>572</v>
      </c>
      <c r="N173" s="154" t="s">
        <v>24</v>
      </c>
      <c r="O173" s="105" t="s">
        <v>760</v>
      </c>
      <c r="P173" s="107">
        <v>0</v>
      </c>
      <c r="Q173" s="108" t="s">
        <v>25</v>
      </c>
      <c r="R173" s="108" t="s">
        <v>759</v>
      </c>
      <c r="S173" s="106">
        <v>2030</v>
      </c>
      <c r="T173" s="109">
        <v>47756</v>
      </c>
      <c r="U173" s="110">
        <v>0.7</v>
      </c>
      <c r="V173" s="110">
        <v>0.30000000000000004</v>
      </c>
      <c r="W173" s="123">
        <f t="shared" si="53"/>
        <v>1</v>
      </c>
      <c r="X173" s="110">
        <v>0.05</v>
      </c>
      <c r="Y173" s="110">
        <v>0</v>
      </c>
      <c r="Z173" s="110">
        <v>6.8000000000000005E-2</v>
      </c>
      <c r="AA173" s="124">
        <v>0.19800000000000001</v>
      </c>
      <c r="AB173" s="110"/>
      <c r="AC173" s="113">
        <f t="shared" si="52"/>
        <v>269699.39250743313</v>
      </c>
      <c r="AD173" s="109"/>
      <c r="AE173" s="114">
        <f t="shared" si="60"/>
        <v>0</v>
      </c>
      <c r="AF173" s="124">
        <f t="shared" si="61"/>
        <v>0</v>
      </c>
      <c r="AG173" s="114">
        <f t="shared" si="62"/>
        <v>43.961000978711603</v>
      </c>
      <c r="AH173" s="114">
        <v>163</v>
      </c>
      <c r="AI173" s="114">
        <v>269.16107036669973</v>
      </c>
      <c r="AJ173" s="114">
        <v>1002</v>
      </c>
      <c r="AK173" s="114">
        <v>600</v>
      </c>
      <c r="AL173" s="114">
        <f t="shared" si="54"/>
        <v>161.81963550445988</v>
      </c>
      <c r="AM173" s="114">
        <f t="shared" si="55"/>
        <v>113.27374485312191</v>
      </c>
      <c r="AN173" s="116">
        <f t="shared" si="56"/>
        <v>161496.64222001983</v>
      </c>
      <c r="AO173" s="126">
        <f t="shared" si="57"/>
        <v>43873.254469772059</v>
      </c>
      <c r="AP173" s="127">
        <f t="shared" si="58"/>
        <v>0.7</v>
      </c>
      <c r="AQ173" s="128">
        <f t="shared" si="59"/>
        <v>2.576687116564417</v>
      </c>
      <c r="AR173" s="119" t="s">
        <v>783</v>
      </c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</row>
    <row r="174" spans="1:123">
      <c r="A174" s="248" t="s">
        <v>499</v>
      </c>
      <c r="B174" s="19" t="s">
        <v>657</v>
      </c>
      <c r="C174" s="21" t="s">
        <v>348</v>
      </c>
      <c r="D174" s="22">
        <v>1</v>
      </c>
      <c r="E174" s="23" t="s">
        <v>740</v>
      </c>
      <c r="F174" s="17"/>
      <c r="G174" s="24">
        <v>2383</v>
      </c>
      <c r="H174" s="17"/>
      <c r="I174" s="17"/>
      <c r="J174" s="25">
        <v>315</v>
      </c>
      <c r="K174" s="176" t="s">
        <v>143</v>
      </c>
      <c r="L174" s="176" t="s">
        <v>728</v>
      </c>
      <c r="M174" s="177" t="s">
        <v>575</v>
      </c>
      <c r="N174" s="190" t="s">
        <v>587</v>
      </c>
      <c r="O174" s="176" t="s">
        <v>760</v>
      </c>
      <c r="P174" s="149">
        <v>0</v>
      </c>
      <c r="Q174" s="178" t="s">
        <v>25</v>
      </c>
      <c r="R174" s="178" t="s">
        <v>26</v>
      </c>
      <c r="S174" s="177">
        <v>2028</v>
      </c>
      <c r="T174" s="179">
        <v>46934</v>
      </c>
      <c r="U174" s="180">
        <v>0.64800000000000002</v>
      </c>
      <c r="V174" s="180">
        <v>0.18999999999999995</v>
      </c>
      <c r="W174" s="181">
        <f t="shared" si="53"/>
        <v>0.83799999999999997</v>
      </c>
      <c r="X174" s="180">
        <v>7.0000000000000007E-2</v>
      </c>
      <c r="Y174" s="180">
        <v>9.5000000000000001E-2</v>
      </c>
      <c r="Z174" s="180">
        <v>6.8000000000000005E-2</v>
      </c>
      <c r="AA174" s="182">
        <v>0.19800000000000001</v>
      </c>
      <c r="AB174" s="180">
        <v>0.16200000000000003</v>
      </c>
      <c r="AC174" s="113">
        <f t="shared" si="52"/>
        <v>166770</v>
      </c>
      <c r="AD174" s="179"/>
      <c r="AE174" s="183">
        <f t="shared" si="60"/>
        <v>0</v>
      </c>
      <c r="AF174" s="182">
        <f t="shared" si="61"/>
        <v>0</v>
      </c>
      <c r="AG174" s="184">
        <f t="shared" si="62"/>
        <v>29.184750000000005</v>
      </c>
      <c r="AH174" s="183">
        <v>175</v>
      </c>
      <c r="AI174" s="183">
        <v>160.04798464491364</v>
      </c>
      <c r="AJ174" s="183">
        <v>1042</v>
      </c>
      <c r="AK174" s="183">
        <v>550</v>
      </c>
      <c r="AL174" s="184">
        <f t="shared" si="54"/>
        <v>91.723500000000001</v>
      </c>
      <c r="AM174" s="184">
        <f t="shared" si="55"/>
        <v>59.436828000000006</v>
      </c>
      <c r="AN174" s="151">
        <f t="shared" si="56"/>
        <v>88026.391554702495</v>
      </c>
      <c r="AO174" s="151">
        <f t="shared" si="57"/>
        <v>28008.397312859888</v>
      </c>
      <c r="AP174" s="152">
        <f t="shared" si="58"/>
        <v>0.81</v>
      </c>
      <c r="AQ174" s="153">
        <f t="shared" si="59"/>
        <v>2.5457142857142854</v>
      </c>
      <c r="AR174" s="185" t="s">
        <v>783</v>
      </c>
    </row>
    <row r="175" spans="1:123" s="120" customFormat="1">
      <c r="A175" s="247" t="s">
        <v>480</v>
      </c>
      <c r="B175" s="103" t="s">
        <v>663</v>
      </c>
      <c r="C175" s="104" t="s">
        <v>363</v>
      </c>
      <c r="D175" s="33">
        <v>1</v>
      </c>
      <c r="E175" s="34" t="s">
        <v>740</v>
      </c>
      <c r="F175" s="35"/>
      <c r="G175" s="36">
        <v>2377</v>
      </c>
      <c r="H175" s="35"/>
      <c r="I175" s="35"/>
      <c r="J175" s="37">
        <v>277</v>
      </c>
      <c r="K175" s="105" t="s">
        <v>143</v>
      </c>
      <c r="L175" s="105" t="s">
        <v>145</v>
      </c>
      <c r="M175" s="106" t="s">
        <v>575</v>
      </c>
      <c r="N175" s="154" t="s">
        <v>597</v>
      </c>
      <c r="O175" s="105" t="s">
        <v>760</v>
      </c>
      <c r="P175" s="107">
        <v>0</v>
      </c>
      <c r="Q175" s="108" t="s">
        <v>25</v>
      </c>
      <c r="R175" s="108" t="s">
        <v>759</v>
      </c>
      <c r="S175" s="106">
        <v>2028</v>
      </c>
      <c r="T175" s="109">
        <v>47118</v>
      </c>
      <c r="U175" s="110">
        <v>0.56000000000000005</v>
      </c>
      <c r="V175" s="110">
        <v>0.29999999999999993</v>
      </c>
      <c r="W175" s="111">
        <f t="shared" si="53"/>
        <v>0.86</v>
      </c>
      <c r="X175" s="110">
        <v>7.0000000000000007E-2</v>
      </c>
      <c r="Y175" s="110">
        <v>9.5000000000000001E-2</v>
      </c>
      <c r="Z175" s="110">
        <v>6.8000000000000005E-2</v>
      </c>
      <c r="AA175" s="112">
        <v>0.19800000000000001</v>
      </c>
      <c r="AB175" s="110">
        <v>0.14000000000000001</v>
      </c>
      <c r="AC175" s="113">
        <f t="shared" si="52"/>
        <v>249900</v>
      </c>
      <c r="AD175" s="109"/>
      <c r="AE175" s="114">
        <f t="shared" si="60"/>
        <v>0</v>
      </c>
      <c r="AF175" s="112">
        <f t="shared" si="61"/>
        <v>0</v>
      </c>
      <c r="AG175" s="115">
        <f t="shared" si="62"/>
        <v>43.732500000000002</v>
      </c>
      <c r="AH175" s="114">
        <v>175</v>
      </c>
      <c r="AI175" s="114">
        <v>210</v>
      </c>
      <c r="AJ175" s="114">
        <v>1190</v>
      </c>
      <c r="AK175" s="114">
        <v>650</v>
      </c>
      <c r="AL175" s="115">
        <f t="shared" si="54"/>
        <v>162.435</v>
      </c>
      <c r="AM175" s="115">
        <f t="shared" si="55"/>
        <v>90.963600000000014</v>
      </c>
      <c r="AN175" s="116">
        <f t="shared" si="56"/>
        <v>136500</v>
      </c>
      <c r="AO175" s="116">
        <f t="shared" si="57"/>
        <v>36750</v>
      </c>
      <c r="AP175" s="117">
        <f t="shared" si="58"/>
        <v>0.70000000000000007</v>
      </c>
      <c r="AQ175" s="118">
        <f t="shared" si="59"/>
        <v>2.6</v>
      </c>
      <c r="AR175" s="119" t="s">
        <v>783</v>
      </c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</row>
    <row r="176" spans="1:123">
      <c r="A176" s="248" t="s">
        <v>483</v>
      </c>
      <c r="B176" s="19" t="s">
        <v>668</v>
      </c>
      <c r="C176" s="21" t="s">
        <v>362</v>
      </c>
      <c r="D176" s="22">
        <v>1</v>
      </c>
      <c r="E176" s="23" t="s">
        <v>740</v>
      </c>
      <c r="F176" s="17"/>
      <c r="G176" s="24">
        <v>2381</v>
      </c>
      <c r="H176" s="17"/>
      <c r="I176" s="17"/>
      <c r="J176" s="25">
        <v>285</v>
      </c>
      <c r="K176" s="176" t="s">
        <v>143</v>
      </c>
      <c r="L176" s="176" t="s">
        <v>146</v>
      </c>
      <c r="M176" s="177" t="s">
        <v>575</v>
      </c>
      <c r="N176" s="190" t="s">
        <v>826</v>
      </c>
      <c r="O176" s="176" t="s">
        <v>760</v>
      </c>
      <c r="P176" s="149">
        <v>0</v>
      </c>
      <c r="Q176" s="178" t="s">
        <v>25</v>
      </c>
      <c r="R176" s="178" t="s">
        <v>26</v>
      </c>
      <c r="S176" s="177">
        <v>2029</v>
      </c>
      <c r="T176" s="179">
        <v>47848</v>
      </c>
      <c r="U176" s="180">
        <v>0.43409999999999999</v>
      </c>
      <c r="V176" s="180">
        <v>0.29899999999999999</v>
      </c>
      <c r="W176" s="181">
        <f t="shared" si="53"/>
        <v>0.73309999999999997</v>
      </c>
      <c r="X176" s="180">
        <v>7.0000000000000007E-2</v>
      </c>
      <c r="Y176" s="180">
        <v>0.06</v>
      </c>
      <c r="Z176" s="180">
        <v>6.8000000000000005E-2</v>
      </c>
      <c r="AA176" s="182">
        <v>0.19800000000000001</v>
      </c>
      <c r="AB176" s="180">
        <v>0.26690000000000003</v>
      </c>
      <c r="AC176" s="113">
        <f t="shared" si="52"/>
        <v>168000</v>
      </c>
      <c r="AD176" s="179"/>
      <c r="AE176" s="183">
        <f t="shared" si="60"/>
        <v>0</v>
      </c>
      <c r="AF176" s="182">
        <f t="shared" si="61"/>
        <v>0</v>
      </c>
      <c r="AG176" s="184">
        <f t="shared" si="62"/>
        <v>29.4</v>
      </c>
      <c r="AH176" s="183">
        <v>175</v>
      </c>
      <c r="AI176" s="183">
        <v>200</v>
      </c>
      <c r="AJ176" s="183">
        <v>840</v>
      </c>
      <c r="AK176" s="183">
        <v>700</v>
      </c>
      <c r="AL176" s="184">
        <f t="shared" si="54"/>
        <v>117.6</v>
      </c>
      <c r="AM176" s="184">
        <f t="shared" si="55"/>
        <v>51.050159999999998</v>
      </c>
      <c r="AN176" s="151">
        <f t="shared" si="56"/>
        <v>140000</v>
      </c>
      <c r="AO176" s="151">
        <f t="shared" si="57"/>
        <v>35000</v>
      </c>
      <c r="AP176" s="152">
        <f t="shared" si="58"/>
        <v>0.70100000000000007</v>
      </c>
      <c r="AQ176" s="153">
        <f t="shared" si="59"/>
        <v>2.8040000000000003</v>
      </c>
      <c r="AR176" s="185" t="s">
        <v>783</v>
      </c>
    </row>
    <row r="177" spans="1:123" s="120" customFormat="1">
      <c r="A177" s="247" t="s">
        <v>483</v>
      </c>
      <c r="B177" s="103" t="s">
        <v>669</v>
      </c>
      <c r="C177" s="104" t="s">
        <v>362</v>
      </c>
      <c r="D177" s="33">
        <v>1</v>
      </c>
      <c r="E177" s="34" t="s">
        <v>740</v>
      </c>
      <c r="F177" s="35"/>
      <c r="G177" s="36">
        <v>2381</v>
      </c>
      <c r="H177" s="35"/>
      <c r="I177" s="35"/>
      <c r="J177" s="37">
        <v>287</v>
      </c>
      <c r="K177" s="105" t="s">
        <v>143</v>
      </c>
      <c r="L177" s="105" t="s">
        <v>146</v>
      </c>
      <c r="M177" s="106" t="s">
        <v>575</v>
      </c>
      <c r="N177" s="154" t="s">
        <v>608</v>
      </c>
      <c r="O177" s="105" t="s">
        <v>760</v>
      </c>
      <c r="P177" s="107">
        <v>0</v>
      </c>
      <c r="Q177" s="108" t="s">
        <v>73</v>
      </c>
      <c r="R177" s="108" t="s">
        <v>26</v>
      </c>
      <c r="S177" s="106">
        <v>2028</v>
      </c>
      <c r="T177" s="109">
        <v>47118</v>
      </c>
      <c r="U177" s="110">
        <v>0.8</v>
      </c>
      <c r="V177" s="110"/>
      <c r="W177" s="111">
        <f t="shared" si="53"/>
        <v>0.8</v>
      </c>
      <c r="X177" s="110"/>
      <c r="Y177" s="110"/>
      <c r="Z177" s="110"/>
      <c r="AA177" s="112">
        <v>0.19800000000000001</v>
      </c>
      <c r="AB177" s="110">
        <v>0.19999999999999996</v>
      </c>
      <c r="AC177" s="113">
        <f t="shared" si="52"/>
        <v>120000</v>
      </c>
      <c r="AD177" s="109"/>
      <c r="AE177" s="114">
        <f t="shared" si="60"/>
        <v>0</v>
      </c>
      <c r="AF177" s="112">
        <f t="shared" si="61"/>
        <v>0</v>
      </c>
      <c r="AG177" s="115">
        <f t="shared" si="62"/>
        <v>42</v>
      </c>
      <c r="AH177" s="114">
        <v>350</v>
      </c>
      <c r="AI177" s="114">
        <v>180.45112781954887</v>
      </c>
      <c r="AJ177" s="114">
        <v>665</v>
      </c>
      <c r="AK177" s="114">
        <v>700</v>
      </c>
      <c r="AL177" s="115">
        <f t="shared" si="54"/>
        <v>84</v>
      </c>
      <c r="AM177" s="115">
        <f t="shared" si="55"/>
        <v>67.2</v>
      </c>
      <c r="AN177" s="116">
        <f t="shared" si="56"/>
        <v>126315.78947368421</v>
      </c>
      <c r="AO177" s="116">
        <f t="shared" si="57"/>
        <v>63157.894736842107</v>
      </c>
      <c r="AP177" s="117">
        <f t="shared" si="58"/>
        <v>1</v>
      </c>
      <c r="AQ177" s="118">
        <f t="shared" si="59"/>
        <v>2</v>
      </c>
      <c r="AR177" s="119" t="s">
        <v>783</v>
      </c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</row>
    <row r="178" spans="1:123">
      <c r="A178" s="248" t="s">
        <v>492</v>
      </c>
      <c r="B178" s="19" t="s">
        <v>683</v>
      </c>
      <c r="C178" s="21" t="s">
        <v>358</v>
      </c>
      <c r="D178" s="22">
        <v>1</v>
      </c>
      <c r="E178" s="23" t="s">
        <v>740</v>
      </c>
      <c r="F178" s="17"/>
      <c r="G178" s="24">
        <v>2376</v>
      </c>
      <c r="H178" s="17"/>
      <c r="I178" s="17"/>
      <c r="J178" s="25">
        <v>304</v>
      </c>
      <c r="K178" s="176" t="s">
        <v>143</v>
      </c>
      <c r="L178" s="176" t="s">
        <v>149</v>
      </c>
      <c r="M178" s="177" t="s">
        <v>575</v>
      </c>
      <c r="N178" s="190" t="s">
        <v>610</v>
      </c>
      <c r="O178" s="176" t="s">
        <v>760</v>
      </c>
      <c r="P178" s="149">
        <v>0</v>
      </c>
      <c r="Q178" s="178" t="s">
        <v>25</v>
      </c>
      <c r="R178" s="178" t="s">
        <v>26</v>
      </c>
      <c r="S178" s="177">
        <v>2028</v>
      </c>
      <c r="T178" s="179">
        <v>47118</v>
      </c>
      <c r="U178" s="180">
        <v>0.47199999999999998</v>
      </c>
      <c r="V178" s="180">
        <v>0.41000000000000003</v>
      </c>
      <c r="W178" s="181">
        <f t="shared" si="53"/>
        <v>0.88200000000000001</v>
      </c>
      <c r="X178" s="180">
        <v>7.0000000000000007E-2</v>
      </c>
      <c r="Y178" s="180">
        <v>9.5000000000000001E-2</v>
      </c>
      <c r="Z178" s="180">
        <v>6.8000000000000005E-2</v>
      </c>
      <c r="AA178" s="182">
        <v>0.19800000000000001</v>
      </c>
      <c r="AB178" s="180">
        <v>0.11799999999999999</v>
      </c>
      <c r="AC178" s="113">
        <f t="shared" si="52"/>
        <v>72600</v>
      </c>
      <c r="AD178" s="179"/>
      <c r="AE178" s="183">
        <f t="shared" si="60"/>
        <v>0</v>
      </c>
      <c r="AF178" s="182">
        <f t="shared" si="61"/>
        <v>0</v>
      </c>
      <c r="AG178" s="184">
        <f t="shared" si="62"/>
        <v>12.705</v>
      </c>
      <c r="AH178" s="183">
        <v>175</v>
      </c>
      <c r="AI178" s="183">
        <v>330</v>
      </c>
      <c r="AJ178" s="183">
        <v>220</v>
      </c>
      <c r="AK178" s="183">
        <v>1000</v>
      </c>
      <c r="AL178" s="184">
        <f t="shared" si="54"/>
        <v>72.599999999999994</v>
      </c>
      <c r="AM178" s="184">
        <f t="shared" si="55"/>
        <v>34.267199999999995</v>
      </c>
      <c r="AN178" s="151">
        <f t="shared" si="56"/>
        <v>330000</v>
      </c>
      <c r="AO178" s="151">
        <f t="shared" si="57"/>
        <v>57750</v>
      </c>
      <c r="AP178" s="152">
        <f t="shared" si="58"/>
        <v>0.59</v>
      </c>
      <c r="AQ178" s="153">
        <f t="shared" si="59"/>
        <v>3.371428571428571</v>
      </c>
      <c r="AR178" s="185" t="s">
        <v>783</v>
      </c>
    </row>
    <row r="179" spans="1:123" s="120" customFormat="1">
      <c r="A179" s="247" t="s">
        <v>501</v>
      </c>
      <c r="B179" s="103" t="s">
        <v>695</v>
      </c>
      <c r="C179" s="104" t="s">
        <v>347</v>
      </c>
      <c r="D179" s="33">
        <v>1</v>
      </c>
      <c r="E179" s="34" t="s">
        <v>739</v>
      </c>
      <c r="F179" s="35"/>
      <c r="G179" s="36">
        <v>2391</v>
      </c>
      <c r="H179" s="35"/>
      <c r="I179" s="35"/>
      <c r="J179" s="37">
        <v>318</v>
      </c>
      <c r="K179" s="105" t="s">
        <v>143</v>
      </c>
      <c r="L179" s="105" t="s">
        <v>154</v>
      </c>
      <c r="M179" s="106" t="s">
        <v>568</v>
      </c>
      <c r="N179" s="154" t="s">
        <v>590</v>
      </c>
      <c r="O179" s="105" t="s">
        <v>760</v>
      </c>
      <c r="P179" s="107">
        <v>0</v>
      </c>
      <c r="Q179" s="108" t="s">
        <v>25</v>
      </c>
      <c r="R179" s="108" t="s">
        <v>26</v>
      </c>
      <c r="S179" s="106">
        <v>2030</v>
      </c>
      <c r="T179" s="109">
        <v>47756</v>
      </c>
      <c r="U179" s="110">
        <v>0.6</v>
      </c>
      <c r="V179" s="110">
        <v>0.25</v>
      </c>
      <c r="W179" s="111">
        <f t="shared" si="53"/>
        <v>0.85</v>
      </c>
      <c r="X179" s="110">
        <v>7.0000000000000007E-2</v>
      </c>
      <c r="Y179" s="110">
        <v>7.0000000000000007E-2</v>
      </c>
      <c r="Z179" s="110">
        <v>6.8000000000000005E-2</v>
      </c>
      <c r="AA179" s="112">
        <v>0.19800000000000001</v>
      </c>
      <c r="AB179" s="110">
        <v>0.15000000000000002</v>
      </c>
      <c r="AC179" s="113">
        <f t="shared" si="52"/>
        <v>283242.12288786483</v>
      </c>
      <c r="AD179" s="109"/>
      <c r="AE179" s="114">
        <f t="shared" si="60"/>
        <v>0</v>
      </c>
      <c r="AF179" s="112">
        <f t="shared" si="61"/>
        <v>0</v>
      </c>
      <c r="AG179" s="115">
        <f t="shared" si="62"/>
        <v>49.567371505376343</v>
      </c>
      <c r="AH179" s="114">
        <v>175</v>
      </c>
      <c r="AI179" s="114">
        <v>224.97388632872503</v>
      </c>
      <c r="AJ179" s="114">
        <v>1259</v>
      </c>
      <c r="AK179" s="114">
        <v>550</v>
      </c>
      <c r="AL179" s="115">
        <f t="shared" si="54"/>
        <v>155.78316758832565</v>
      </c>
      <c r="AM179" s="115">
        <f t="shared" si="55"/>
        <v>93.469900552995384</v>
      </c>
      <c r="AN179" s="116">
        <f t="shared" si="56"/>
        <v>123735.63748079876</v>
      </c>
      <c r="AO179" s="116">
        <f t="shared" si="57"/>
        <v>39370.430107526881</v>
      </c>
      <c r="AP179" s="117">
        <f t="shared" si="58"/>
        <v>0.75</v>
      </c>
      <c r="AQ179" s="118">
        <f t="shared" si="59"/>
        <v>2.3571428571428572</v>
      </c>
      <c r="AR179" s="119" t="s">
        <v>783</v>
      </c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</row>
    <row r="180" spans="1:123">
      <c r="A180" s="248" t="s">
        <v>428</v>
      </c>
      <c r="B180" s="19" t="s">
        <v>208</v>
      </c>
      <c r="C180" s="21" t="s">
        <v>327</v>
      </c>
      <c r="D180" s="22">
        <v>1</v>
      </c>
      <c r="E180" s="23" t="s">
        <v>740</v>
      </c>
      <c r="F180" s="17"/>
      <c r="G180" s="24" t="s">
        <v>753</v>
      </c>
      <c r="H180" s="17"/>
      <c r="I180" s="17"/>
      <c r="J180" s="25">
        <v>164</v>
      </c>
      <c r="K180" s="176" t="s">
        <v>53</v>
      </c>
      <c r="L180" s="176" t="s">
        <v>54</v>
      </c>
      <c r="M180" s="177" t="s">
        <v>568</v>
      </c>
      <c r="N180" s="190" t="s">
        <v>58</v>
      </c>
      <c r="O180" s="176" t="s">
        <v>756</v>
      </c>
      <c r="P180" s="149">
        <v>2781250</v>
      </c>
      <c r="Q180" s="178" t="s">
        <v>25</v>
      </c>
      <c r="R180" s="178" t="s">
        <v>26</v>
      </c>
      <c r="S180" s="177">
        <v>2030</v>
      </c>
      <c r="T180" s="179">
        <v>47848</v>
      </c>
      <c r="U180" s="180">
        <v>0.36959999999999998</v>
      </c>
      <c r="V180" s="180"/>
      <c r="W180" s="181">
        <f t="shared" si="53"/>
        <v>0.36959999999999998</v>
      </c>
      <c r="X180" s="180"/>
      <c r="Y180" s="180"/>
      <c r="Z180" s="180"/>
      <c r="AA180" s="182">
        <v>0.19800000000000001</v>
      </c>
      <c r="AB180" s="180">
        <v>0.63040000000000007</v>
      </c>
      <c r="AC180" s="113">
        <f t="shared" si="52"/>
        <v>202400</v>
      </c>
      <c r="AD180" s="179"/>
      <c r="AE180" s="183">
        <f t="shared" si="60"/>
        <v>2.78125</v>
      </c>
      <c r="AF180" s="182">
        <f t="shared" si="61"/>
        <v>2.5927082556491909E-2</v>
      </c>
      <c r="AG180" s="184">
        <f t="shared" si="62"/>
        <v>25.9072</v>
      </c>
      <c r="AH180" s="183">
        <v>128</v>
      </c>
      <c r="AI180" s="183">
        <v>275</v>
      </c>
      <c r="AJ180" s="183">
        <v>736</v>
      </c>
      <c r="AK180" s="183">
        <v>530</v>
      </c>
      <c r="AL180" s="184">
        <f t="shared" si="54"/>
        <v>107.27200000000001</v>
      </c>
      <c r="AM180" s="184">
        <f t="shared" si="55"/>
        <v>39.647731200000003</v>
      </c>
      <c r="AN180" s="151">
        <f t="shared" si="56"/>
        <v>145750</v>
      </c>
      <c r="AO180" s="151">
        <f t="shared" si="57"/>
        <v>35200</v>
      </c>
      <c r="AP180" s="152">
        <f t="shared" si="58"/>
        <v>1</v>
      </c>
      <c r="AQ180" s="153">
        <f t="shared" si="59"/>
        <v>3.7392051505048203</v>
      </c>
      <c r="AR180" s="185" t="s">
        <v>783</v>
      </c>
    </row>
    <row r="181" spans="1:123" s="120" customFormat="1">
      <c r="A181" s="247" t="s">
        <v>429</v>
      </c>
      <c r="B181" s="103" t="s">
        <v>223</v>
      </c>
      <c r="C181" s="104" t="s">
        <v>328</v>
      </c>
      <c r="D181" s="33">
        <v>1</v>
      </c>
      <c r="E181" s="34" t="s">
        <v>740</v>
      </c>
      <c r="F181" s="35"/>
      <c r="G181" s="36" t="s">
        <v>753</v>
      </c>
      <c r="H181" s="35"/>
      <c r="I181" s="35"/>
      <c r="J181" s="37">
        <v>182</v>
      </c>
      <c r="K181" s="105" t="s">
        <v>53</v>
      </c>
      <c r="L181" s="105" t="s">
        <v>54</v>
      </c>
      <c r="M181" s="106" t="s">
        <v>568</v>
      </c>
      <c r="N181" s="154" t="s">
        <v>830</v>
      </c>
      <c r="O181" s="105" t="s">
        <v>760</v>
      </c>
      <c r="P181" s="107">
        <v>0</v>
      </c>
      <c r="Q181" s="108" t="s">
        <v>73</v>
      </c>
      <c r="R181" s="108" t="s">
        <v>26</v>
      </c>
      <c r="S181" s="106">
        <v>2030</v>
      </c>
      <c r="T181" s="109">
        <v>47848</v>
      </c>
      <c r="U181" s="110">
        <v>0.442</v>
      </c>
      <c r="V181" s="110">
        <v>0.35</v>
      </c>
      <c r="W181" s="111">
        <f t="shared" si="53"/>
        <v>0.79200000000000004</v>
      </c>
      <c r="X181" s="110">
        <v>0.05</v>
      </c>
      <c r="Y181" s="110">
        <v>7.0000000000000007E-2</v>
      </c>
      <c r="Z181" s="110">
        <v>6.8000000000000005E-2</v>
      </c>
      <c r="AA181" s="112">
        <v>0.19800000000000001</v>
      </c>
      <c r="AB181" s="110">
        <v>0.20799999999999996</v>
      </c>
      <c r="AC181" s="113">
        <f t="shared" si="52"/>
        <v>178172.5</v>
      </c>
      <c r="AD181" s="109"/>
      <c r="AE181" s="114">
        <f t="shared" si="60"/>
        <v>0</v>
      </c>
      <c r="AF181" s="112">
        <f t="shared" si="61"/>
        <v>0</v>
      </c>
      <c r="AG181" s="115">
        <f t="shared" si="62"/>
        <v>46.324849999999998</v>
      </c>
      <c r="AH181" s="114">
        <v>260</v>
      </c>
      <c r="AI181" s="114">
        <v>350</v>
      </c>
      <c r="AJ181" s="114">
        <v>509.06428571428569</v>
      </c>
      <c r="AK181" s="114">
        <v>1250</v>
      </c>
      <c r="AL181" s="115">
        <f t="shared" si="54"/>
        <v>222.71562499999999</v>
      </c>
      <c r="AM181" s="115">
        <f t="shared" si="55"/>
        <v>98.440306249999992</v>
      </c>
      <c r="AN181" s="116">
        <f t="shared" si="56"/>
        <v>437500</v>
      </c>
      <c r="AO181" s="116">
        <f t="shared" si="57"/>
        <v>91000</v>
      </c>
      <c r="AP181" s="117">
        <f t="shared" si="58"/>
        <v>0.64999999999999991</v>
      </c>
      <c r="AQ181" s="118">
        <f t="shared" si="59"/>
        <v>3.1249999999999991</v>
      </c>
      <c r="AR181" s="119" t="s">
        <v>783</v>
      </c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</row>
    <row r="182" spans="1:123">
      <c r="A182" s="248" t="s">
        <v>452</v>
      </c>
      <c r="B182" s="19" t="s">
        <v>251</v>
      </c>
      <c r="C182" s="21" t="s">
        <v>385</v>
      </c>
      <c r="D182" s="22">
        <v>1</v>
      </c>
      <c r="E182" s="23" t="s">
        <v>740</v>
      </c>
      <c r="F182" s="17"/>
      <c r="G182" s="24">
        <v>2284</v>
      </c>
      <c r="H182" s="17"/>
      <c r="I182" s="17"/>
      <c r="J182" s="25">
        <v>220</v>
      </c>
      <c r="K182" s="176" t="s">
        <v>103</v>
      </c>
      <c r="L182" s="176" t="s">
        <v>107</v>
      </c>
      <c r="M182" s="177" t="s">
        <v>573</v>
      </c>
      <c r="N182" s="190" t="s">
        <v>110</v>
      </c>
      <c r="O182" s="176" t="s">
        <v>760</v>
      </c>
      <c r="P182" s="149">
        <v>0</v>
      </c>
      <c r="Q182" s="178" t="s">
        <v>25</v>
      </c>
      <c r="R182" s="178" t="s">
        <v>26</v>
      </c>
      <c r="S182" s="177">
        <v>2031</v>
      </c>
      <c r="T182" s="179">
        <v>48029</v>
      </c>
      <c r="U182" s="180">
        <v>0.50418499999999999</v>
      </c>
      <c r="V182" s="180">
        <v>0.44999999999999996</v>
      </c>
      <c r="W182" s="181">
        <f t="shared" si="53"/>
        <v>0.95418499999999995</v>
      </c>
      <c r="X182" s="180">
        <v>0.05</v>
      </c>
      <c r="Y182" s="180">
        <v>9.0000000000000011E-2</v>
      </c>
      <c r="Z182" s="180">
        <v>6.8000000000000005E-2</v>
      </c>
      <c r="AA182" s="182">
        <v>0.19800000000000001</v>
      </c>
      <c r="AB182" s="180">
        <v>4.581500000000005E-2</v>
      </c>
      <c r="AC182" s="113">
        <f t="shared" si="52"/>
        <v>202882</v>
      </c>
      <c r="AD182" s="179"/>
      <c r="AE182" s="183">
        <f t="shared" si="60"/>
        <v>0</v>
      </c>
      <c r="AF182" s="182">
        <f t="shared" si="61"/>
        <v>0</v>
      </c>
      <c r="AG182" s="184">
        <f t="shared" si="62"/>
        <v>34.489939999999997</v>
      </c>
      <c r="AH182" s="183">
        <v>170</v>
      </c>
      <c r="AI182" s="183">
        <v>361</v>
      </c>
      <c r="AJ182" s="183">
        <v>562</v>
      </c>
      <c r="AK182" s="183">
        <v>650</v>
      </c>
      <c r="AL182" s="184">
        <f t="shared" si="54"/>
        <v>131.8733</v>
      </c>
      <c r="AM182" s="184">
        <f t="shared" si="55"/>
        <v>66.488539760500004</v>
      </c>
      <c r="AN182" s="151">
        <f t="shared" si="56"/>
        <v>234650</v>
      </c>
      <c r="AO182" s="151">
        <f t="shared" si="57"/>
        <v>61370</v>
      </c>
      <c r="AP182" s="152">
        <f t="shared" si="58"/>
        <v>0.55000000000000004</v>
      </c>
      <c r="AQ182" s="153">
        <f t="shared" si="59"/>
        <v>2.1029411764705883</v>
      </c>
      <c r="AR182" s="185" t="s">
        <v>783</v>
      </c>
    </row>
    <row r="183" spans="1:123" s="120" customFormat="1">
      <c r="A183" s="247" t="s">
        <v>456</v>
      </c>
      <c r="B183" s="103" t="s">
        <v>642</v>
      </c>
      <c r="C183" s="104" t="s">
        <v>382</v>
      </c>
      <c r="D183" s="33">
        <v>1</v>
      </c>
      <c r="E183" s="34" t="s">
        <v>740</v>
      </c>
      <c r="F183" s="35"/>
      <c r="G183" s="36">
        <v>2278</v>
      </c>
      <c r="H183" s="35"/>
      <c r="I183" s="35"/>
      <c r="J183" s="37">
        <v>229</v>
      </c>
      <c r="K183" s="105" t="s">
        <v>103</v>
      </c>
      <c r="L183" s="105" t="s">
        <v>582</v>
      </c>
      <c r="M183" s="106" t="s">
        <v>574</v>
      </c>
      <c r="N183" s="154" t="s">
        <v>46</v>
      </c>
      <c r="O183" s="105" t="s">
        <v>760</v>
      </c>
      <c r="P183" s="107">
        <v>0</v>
      </c>
      <c r="Q183" s="108" t="s">
        <v>25</v>
      </c>
      <c r="R183" s="108" t="s">
        <v>26</v>
      </c>
      <c r="S183" s="106">
        <v>2031</v>
      </c>
      <c r="T183" s="109">
        <v>48213</v>
      </c>
      <c r="U183" s="110">
        <v>0.59585500000000002</v>
      </c>
      <c r="V183" s="110">
        <v>0.35</v>
      </c>
      <c r="W183" s="111">
        <f t="shared" si="53"/>
        <v>0.945855</v>
      </c>
      <c r="X183" s="110">
        <v>0.05</v>
      </c>
      <c r="Y183" s="110">
        <v>9.0000000000000011E-2</v>
      </c>
      <c r="Z183" s="110">
        <v>6.8000000000000005E-2</v>
      </c>
      <c r="AA183" s="112">
        <v>0.19800000000000001</v>
      </c>
      <c r="AB183" s="110">
        <v>5.4144999999999999E-2</v>
      </c>
      <c r="AC183" s="113">
        <f t="shared" si="52"/>
        <v>220800</v>
      </c>
      <c r="AD183" s="109"/>
      <c r="AE183" s="114">
        <f t="shared" si="60"/>
        <v>0</v>
      </c>
      <c r="AF183" s="112">
        <f t="shared" si="61"/>
        <v>0</v>
      </c>
      <c r="AG183" s="115">
        <f t="shared" si="62"/>
        <v>35.990400000000001</v>
      </c>
      <c r="AH183" s="114">
        <v>163</v>
      </c>
      <c r="AI183" s="114">
        <v>276</v>
      </c>
      <c r="AJ183" s="114">
        <v>800</v>
      </c>
      <c r="AK183" s="114">
        <v>650</v>
      </c>
      <c r="AL183" s="115">
        <f t="shared" si="54"/>
        <v>143.52000000000001</v>
      </c>
      <c r="AM183" s="115">
        <f t="shared" si="55"/>
        <v>85.517109600000012</v>
      </c>
      <c r="AN183" s="116">
        <f t="shared" si="56"/>
        <v>179400</v>
      </c>
      <c r="AO183" s="116">
        <f t="shared" si="57"/>
        <v>44988</v>
      </c>
      <c r="AP183" s="117">
        <f t="shared" si="58"/>
        <v>0.65</v>
      </c>
      <c r="AQ183" s="118">
        <f t="shared" si="59"/>
        <v>2.592024539877301</v>
      </c>
      <c r="AR183" s="119" t="s">
        <v>783</v>
      </c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</row>
    <row r="184" spans="1:123">
      <c r="A184" s="248" t="s">
        <v>471</v>
      </c>
      <c r="B184" s="19" t="s">
        <v>273</v>
      </c>
      <c r="C184" s="21" t="s">
        <v>372</v>
      </c>
      <c r="D184" s="22">
        <v>1</v>
      </c>
      <c r="E184" s="23" t="s">
        <v>740</v>
      </c>
      <c r="F184" s="17"/>
      <c r="G184" s="24">
        <v>2281</v>
      </c>
      <c r="H184" s="17"/>
      <c r="I184" s="17"/>
      <c r="J184" s="25">
        <v>260</v>
      </c>
      <c r="K184" s="176" t="s">
        <v>103</v>
      </c>
      <c r="L184" s="176" t="s">
        <v>125</v>
      </c>
      <c r="M184" s="177" t="s">
        <v>583</v>
      </c>
      <c r="N184" s="190" t="s">
        <v>130</v>
      </c>
      <c r="O184" s="176" t="s">
        <v>760</v>
      </c>
      <c r="P184" s="149">
        <v>0</v>
      </c>
      <c r="Q184" s="178" t="s">
        <v>25</v>
      </c>
      <c r="R184" s="178" t="s">
        <v>26</v>
      </c>
      <c r="S184" s="177">
        <v>2031</v>
      </c>
      <c r="T184" s="179">
        <v>48121</v>
      </c>
      <c r="U184" s="180">
        <v>0.72499999999999998</v>
      </c>
      <c r="V184" s="180">
        <v>0.27500000000000002</v>
      </c>
      <c r="W184" s="181">
        <f t="shared" si="53"/>
        <v>1</v>
      </c>
      <c r="X184" s="180">
        <v>0.05</v>
      </c>
      <c r="Y184" s="180">
        <v>9.0000000000000011E-2</v>
      </c>
      <c r="Z184" s="180">
        <v>6.8000000000000005E-2</v>
      </c>
      <c r="AA184" s="182">
        <v>0.19800000000000001</v>
      </c>
      <c r="AB184" s="180">
        <v>5.9142999999999946E-2</v>
      </c>
      <c r="AC184" s="113">
        <f t="shared" si="52"/>
        <v>142275.99660397074</v>
      </c>
      <c r="AD184" s="179"/>
      <c r="AE184" s="183">
        <f t="shared" si="60"/>
        <v>0</v>
      </c>
      <c r="AF184" s="182">
        <f t="shared" si="61"/>
        <v>0</v>
      </c>
      <c r="AG184" s="184">
        <f t="shared" si="62"/>
        <v>23.190987446447231</v>
      </c>
      <c r="AH184" s="183">
        <v>163</v>
      </c>
      <c r="AI184" s="183">
        <v>160.04049111807731</v>
      </c>
      <c r="AJ184" s="183">
        <v>889</v>
      </c>
      <c r="AK184" s="183">
        <v>550</v>
      </c>
      <c r="AL184" s="184">
        <f t="shared" si="54"/>
        <v>78.251798132183907</v>
      </c>
      <c r="AM184" s="184">
        <f t="shared" si="55"/>
        <v>56.732553645833335</v>
      </c>
      <c r="AN184" s="151">
        <f t="shared" si="56"/>
        <v>88022.270114942527</v>
      </c>
      <c r="AO184" s="151">
        <f t="shared" si="57"/>
        <v>26086.600052246602</v>
      </c>
      <c r="AP184" s="152">
        <f t="shared" si="58"/>
        <v>0.78414299999999992</v>
      </c>
      <c r="AQ184" s="153">
        <f t="shared" si="59"/>
        <v>2.6458812883435581</v>
      </c>
      <c r="AR184" s="185" t="s">
        <v>783</v>
      </c>
    </row>
    <row r="185" spans="1:123" s="120" customFormat="1">
      <c r="A185" s="247" t="s">
        <v>476</v>
      </c>
      <c r="B185" s="103" t="s">
        <v>656</v>
      </c>
      <c r="C185" s="104" t="s">
        <v>367</v>
      </c>
      <c r="D185" s="33">
        <v>1</v>
      </c>
      <c r="E185" s="34" t="s">
        <v>739</v>
      </c>
      <c r="F185" s="35"/>
      <c r="G185" s="36">
        <v>2656</v>
      </c>
      <c r="H185" s="35"/>
      <c r="I185" s="35"/>
      <c r="J185" s="37">
        <v>267</v>
      </c>
      <c r="K185" s="105" t="s">
        <v>103</v>
      </c>
      <c r="L185" s="105" t="s">
        <v>139</v>
      </c>
      <c r="M185" s="106" t="s">
        <v>574</v>
      </c>
      <c r="N185" s="154" t="s">
        <v>140</v>
      </c>
      <c r="O185" s="105" t="s">
        <v>760</v>
      </c>
      <c r="P185" s="107">
        <v>0</v>
      </c>
      <c r="Q185" s="108" t="s">
        <v>25</v>
      </c>
      <c r="R185" s="108" t="s">
        <v>26</v>
      </c>
      <c r="S185" s="106">
        <v>2031</v>
      </c>
      <c r="T185" s="109">
        <v>48212</v>
      </c>
      <c r="U185" s="110">
        <v>0.7</v>
      </c>
      <c r="V185" s="110">
        <v>0.30000000000000004</v>
      </c>
      <c r="W185" s="111">
        <f t="shared" ref="W185:W216" si="63">SUM(U185:V185)</f>
        <v>1</v>
      </c>
      <c r="X185" s="110">
        <v>0.05</v>
      </c>
      <c r="Y185" s="110">
        <v>0</v>
      </c>
      <c r="Z185" s="110">
        <v>6.8000000000000005E-2</v>
      </c>
      <c r="AA185" s="112">
        <v>0.19800000000000001</v>
      </c>
      <c r="AB185" s="110"/>
      <c r="AC185" s="113">
        <f t="shared" si="52"/>
        <v>211978.4</v>
      </c>
      <c r="AD185" s="109"/>
      <c r="AE185" s="114">
        <f t="shared" si="60"/>
        <v>0</v>
      </c>
      <c r="AF185" s="112">
        <f t="shared" si="61"/>
        <v>0</v>
      </c>
      <c r="AG185" s="115">
        <f t="shared" si="62"/>
        <v>34.552479200000001</v>
      </c>
      <c r="AH185" s="114">
        <v>163</v>
      </c>
      <c r="AI185" s="114">
        <v>289.58797814207651</v>
      </c>
      <c r="AJ185" s="114">
        <v>732</v>
      </c>
      <c r="AK185" s="114">
        <v>600</v>
      </c>
      <c r="AL185" s="115">
        <f t="shared" ref="AL185:AL216" si="64">(AK185*AJ185*AI185)/10^6</f>
        <v>127.18704</v>
      </c>
      <c r="AM185" s="115">
        <f t="shared" ref="AM185:AM216" si="65">AL185*U185</f>
        <v>89.030927999999989</v>
      </c>
      <c r="AN185" s="116">
        <f t="shared" ref="AN185:AN216" si="66">AI185*AK185</f>
        <v>173752.78688524591</v>
      </c>
      <c r="AO185" s="116">
        <f t="shared" ref="AO185:AO216" si="67">AH185*AI185</f>
        <v>47202.840437158469</v>
      </c>
      <c r="AP185" s="117">
        <f t="shared" ref="AP185:AP216" si="68">U185+AB185</f>
        <v>0.7</v>
      </c>
      <c r="AQ185" s="118">
        <f t="shared" ref="AQ185:AQ216" si="69">AL185*AP185/(AG185+AE185)</f>
        <v>2.576687116564417</v>
      </c>
      <c r="AR185" s="119" t="s">
        <v>783</v>
      </c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</row>
    <row r="186" spans="1:123">
      <c r="A186" s="248" t="s">
        <v>481</v>
      </c>
      <c r="B186" s="19" t="s">
        <v>665</v>
      </c>
      <c r="C186" s="21" t="s">
        <v>363</v>
      </c>
      <c r="D186" s="22">
        <v>1</v>
      </c>
      <c r="E186" s="23" t="s">
        <v>740</v>
      </c>
      <c r="F186" s="17"/>
      <c r="G186" s="24">
        <v>2377</v>
      </c>
      <c r="H186" s="17"/>
      <c r="I186" s="17"/>
      <c r="J186" s="25">
        <v>279</v>
      </c>
      <c r="K186" s="176" t="s">
        <v>143</v>
      </c>
      <c r="L186" s="176" t="s">
        <v>145</v>
      </c>
      <c r="M186" s="177" t="s">
        <v>575</v>
      </c>
      <c r="N186" s="190" t="s">
        <v>599</v>
      </c>
      <c r="O186" s="176" t="s">
        <v>760</v>
      </c>
      <c r="P186" s="149">
        <v>0</v>
      </c>
      <c r="Q186" s="178" t="s">
        <v>25</v>
      </c>
      <c r="R186" s="178" t="s">
        <v>26</v>
      </c>
      <c r="S186" s="177">
        <v>2029</v>
      </c>
      <c r="T186" s="179">
        <v>48213</v>
      </c>
      <c r="U186" s="180">
        <v>0.56000000000000005</v>
      </c>
      <c r="V186" s="180">
        <v>0.29999999999999993</v>
      </c>
      <c r="W186" s="181">
        <f t="shared" si="63"/>
        <v>0.86</v>
      </c>
      <c r="X186" s="180">
        <v>7.0000000000000007E-2</v>
      </c>
      <c r="Y186" s="180">
        <v>9.5000000000000001E-2</v>
      </c>
      <c r="Z186" s="180">
        <v>6.8000000000000005E-2</v>
      </c>
      <c r="AA186" s="182">
        <v>0.19800000000000001</v>
      </c>
      <c r="AB186" s="180">
        <v>0.14000000000000001</v>
      </c>
      <c r="AC186" s="113">
        <f t="shared" si="52"/>
        <v>220066.66666666666</v>
      </c>
      <c r="AD186" s="179"/>
      <c r="AE186" s="183">
        <f t="shared" si="60"/>
        <v>0</v>
      </c>
      <c r="AF186" s="182">
        <f t="shared" si="61"/>
        <v>0</v>
      </c>
      <c r="AG186" s="184">
        <f t="shared" si="62"/>
        <v>38.511666666666663</v>
      </c>
      <c r="AH186" s="183">
        <v>175</v>
      </c>
      <c r="AI186" s="183">
        <v>269.35944512443899</v>
      </c>
      <c r="AJ186" s="183">
        <v>817</v>
      </c>
      <c r="AK186" s="183">
        <v>650</v>
      </c>
      <c r="AL186" s="184">
        <f t="shared" si="64"/>
        <v>143.04333333333332</v>
      </c>
      <c r="AM186" s="184">
        <f t="shared" si="65"/>
        <v>80.104266666666675</v>
      </c>
      <c r="AN186" s="151">
        <f t="shared" si="66"/>
        <v>175083.63933088534</v>
      </c>
      <c r="AO186" s="151">
        <f t="shared" si="67"/>
        <v>47137.902896776824</v>
      </c>
      <c r="AP186" s="152">
        <f t="shared" si="68"/>
        <v>0.70000000000000007</v>
      </c>
      <c r="AQ186" s="153">
        <f t="shared" si="69"/>
        <v>2.6000000000000005</v>
      </c>
      <c r="AR186" s="185" t="s">
        <v>783</v>
      </c>
    </row>
    <row r="187" spans="1:123" s="120" customFormat="1">
      <c r="A187" s="247" t="s">
        <v>483</v>
      </c>
      <c r="B187" s="103" t="s">
        <v>667</v>
      </c>
      <c r="C187" s="104" t="s">
        <v>362</v>
      </c>
      <c r="D187" s="33">
        <v>1</v>
      </c>
      <c r="E187" s="34" t="s">
        <v>740</v>
      </c>
      <c r="F187" s="35"/>
      <c r="G187" s="36">
        <v>2381</v>
      </c>
      <c r="H187" s="35"/>
      <c r="I187" s="35"/>
      <c r="J187" s="37">
        <v>282</v>
      </c>
      <c r="K187" s="105" t="s">
        <v>143</v>
      </c>
      <c r="L187" s="105" t="s">
        <v>146</v>
      </c>
      <c r="M187" s="106" t="s">
        <v>575</v>
      </c>
      <c r="N187" s="154" t="s">
        <v>823</v>
      </c>
      <c r="O187" s="105" t="s">
        <v>760</v>
      </c>
      <c r="P187" s="107">
        <v>0</v>
      </c>
      <c r="Q187" s="108" t="s">
        <v>73</v>
      </c>
      <c r="R187" s="108" t="s">
        <v>759</v>
      </c>
      <c r="S187" s="106">
        <v>2028</v>
      </c>
      <c r="T187" s="109">
        <v>47118</v>
      </c>
      <c r="U187" s="110">
        <v>0.43409999999999999</v>
      </c>
      <c r="V187" s="110">
        <v>0.45740000000000003</v>
      </c>
      <c r="W187" s="111">
        <f t="shared" si="63"/>
        <v>0.89149999999999996</v>
      </c>
      <c r="X187" s="110">
        <v>7.0000000000000007E-2</v>
      </c>
      <c r="Y187" s="110">
        <v>0.06</v>
      </c>
      <c r="Z187" s="110">
        <v>6.8000000000000005E-2</v>
      </c>
      <c r="AA187" s="112">
        <v>0.19800000000000001</v>
      </c>
      <c r="AB187" s="110">
        <v>0.10850000000000004</v>
      </c>
      <c r="AC187" s="113">
        <f t="shared" si="52"/>
        <v>132000</v>
      </c>
      <c r="AD187" s="109"/>
      <c r="AE187" s="114">
        <f t="shared" si="60"/>
        <v>0</v>
      </c>
      <c r="AF187" s="112">
        <f t="shared" si="61"/>
        <v>0</v>
      </c>
      <c r="AG187" s="115">
        <f t="shared" si="62"/>
        <v>39.6</v>
      </c>
      <c r="AH187" s="114">
        <v>300</v>
      </c>
      <c r="AI187" s="114">
        <v>184.87394957983193</v>
      </c>
      <c r="AJ187" s="114">
        <v>714</v>
      </c>
      <c r="AK187" s="114">
        <v>1200</v>
      </c>
      <c r="AL187" s="115">
        <f t="shared" si="64"/>
        <v>158.4</v>
      </c>
      <c r="AM187" s="115">
        <f t="shared" si="65"/>
        <v>68.761439999999993</v>
      </c>
      <c r="AN187" s="116">
        <f t="shared" si="66"/>
        <v>221848.73949579831</v>
      </c>
      <c r="AO187" s="116">
        <f t="shared" si="67"/>
        <v>55462.184873949576</v>
      </c>
      <c r="AP187" s="117">
        <f t="shared" si="68"/>
        <v>0.54259999999999997</v>
      </c>
      <c r="AQ187" s="118">
        <f t="shared" si="69"/>
        <v>2.1703999999999999</v>
      </c>
      <c r="AR187" s="119" t="s">
        <v>783</v>
      </c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</row>
    <row r="188" spans="1:123">
      <c r="A188" s="248" t="s">
        <v>493</v>
      </c>
      <c r="B188" s="19" t="s">
        <v>686</v>
      </c>
      <c r="C188" s="21" t="s">
        <v>352</v>
      </c>
      <c r="D188" s="22">
        <v>1</v>
      </c>
      <c r="E188" s="23" t="s">
        <v>740</v>
      </c>
      <c r="F188" s="17"/>
      <c r="G188" s="24">
        <v>2373</v>
      </c>
      <c r="H188" s="17"/>
      <c r="I188" s="17"/>
      <c r="J188" s="25">
        <v>307</v>
      </c>
      <c r="K188" s="176" t="s">
        <v>143</v>
      </c>
      <c r="L188" s="176" t="s">
        <v>150</v>
      </c>
      <c r="M188" s="177" t="s">
        <v>575</v>
      </c>
      <c r="N188" s="190" t="s">
        <v>605</v>
      </c>
      <c r="O188" s="176" t="s">
        <v>760</v>
      </c>
      <c r="P188" s="149">
        <v>0</v>
      </c>
      <c r="Q188" s="178" t="s">
        <v>25</v>
      </c>
      <c r="R188" s="178" t="s">
        <v>26</v>
      </c>
      <c r="S188" s="177">
        <v>2028</v>
      </c>
      <c r="T188" s="179">
        <v>46934</v>
      </c>
      <c r="U188" s="180">
        <v>0.59179999999999999</v>
      </c>
      <c r="V188" s="180">
        <v>0.26029999999999998</v>
      </c>
      <c r="W188" s="181">
        <f t="shared" si="63"/>
        <v>0.85209999999999997</v>
      </c>
      <c r="X188" s="180">
        <v>7.0000000000000007E-2</v>
      </c>
      <c r="Y188" s="180">
        <v>9.5000000000000001E-2</v>
      </c>
      <c r="Z188" s="180">
        <v>6.8000000000000005E-2</v>
      </c>
      <c r="AA188" s="182">
        <v>0.19800000000000001</v>
      </c>
      <c r="AB188" s="180">
        <v>0.14790000000000003</v>
      </c>
      <c r="AC188" s="113">
        <f t="shared" si="52"/>
        <v>375000</v>
      </c>
      <c r="AD188" s="179"/>
      <c r="AE188" s="183">
        <f t="shared" si="60"/>
        <v>0</v>
      </c>
      <c r="AF188" s="182">
        <f t="shared" si="61"/>
        <v>0</v>
      </c>
      <c r="AG188" s="184">
        <f t="shared" si="62"/>
        <v>65.625</v>
      </c>
      <c r="AH188" s="183">
        <v>175</v>
      </c>
      <c r="AI188" s="183">
        <v>400</v>
      </c>
      <c r="AJ188" s="183">
        <v>937.5</v>
      </c>
      <c r="AK188" s="183">
        <v>800</v>
      </c>
      <c r="AL188" s="184">
        <f t="shared" si="64"/>
        <v>300</v>
      </c>
      <c r="AM188" s="184">
        <f t="shared" si="65"/>
        <v>177.54</v>
      </c>
      <c r="AN188" s="151">
        <f t="shared" si="66"/>
        <v>320000</v>
      </c>
      <c r="AO188" s="151">
        <f t="shared" si="67"/>
        <v>70000</v>
      </c>
      <c r="AP188" s="152">
        <f t="shared" si="68"/>
        <v>0.73970000000000002</v>
      </c>
      <c r="AQ188" s="153">
        <f t="shared" si="69"/>
        <v>3.3814857142857142</v>
      </c>
      <c r="AR188" s="185" t="s">
        <v>783</v>
      </c>
    </row>
    <row r="189" spans="1:123" s="120" customFormat="1">
      <c r="A189" s="247" t="s">
        <v>428</v>
      </c>
      <c r="B189" s="103" t="s">
        <v>209</v>
      </c>
      <c r="C189" s="104" t="s">
        <v>327</v>
      </c>
      <c r="D189" s="33">
        <v>1</v>
      </c>
      <c r="E189" s="34" t="s">
        <v>740</v>
      </c>
      <c r="F189" s="35"/>
      <c r="G189" s="36" t="s">
        <v>753</v>
      </c>
      <c r="H189" s="35"/>
      <c r="I189" s="35"/>
      <c r="J189" s="37">
        <v>165</v>
      </c>
      <c r="K189" s="105" t="s">
        <v>53</v>
      </c>
      <c r="L189" s="105" t="s">
        <v>54</v>
      </c>
      <c r="M189" s="106" t="s">
        <v>568</v>
      </c>
      <c r="N189" s="154" t="s">
        <v>59</v>
      </c>
      <c r="O189" s="105" t="s">
        <v>756</v>
      </c>
      <c r="P189" s="107">
        <v>2781250</v>
      </c>
      <c r="Q189" s="108" t="s">
        <v>25</v>
      </c>
      <c r="R189" s="108" t="s">
        <v>26</v>
      </c>
      <c r="S189" s="106">
        <v>2031</v>
      </c>
      <c r="T189" s="109">
        <v>48213</v>
      </c>
      <c r="U189" s="110">
        <v>0.36959999999999998</v>
      </c>
      <c r="V189" s="110"/>
      <c r="W189" s="111">
        <f t="shared" si="63"/>
        <v>0.36959999999999998</v>
      </c>
      <c r="X189" s="110"/>
      <c r="Y189" s="110"/>
      <c r="Z189" s="110"/>
      <c r="AA189" s="112">
        <v>0.19800000000000001</v>
      </c>
      <c r="AB189" s="110">
        <v>0.63040000000000007</v>
      </c>
      <c r="AC189" s="113">
        <f t="shared" si="52"/>
        <v>202400</v>
      </c>
      <c r="AD189" s="109"/>
      <c r="AE189" s="114">
        <f t="shared" si="60"/>
        <v>2.78125</v>
      </c>
      <c r="AF189" s="112">
        <f t="shared" si="61"/>
        <v>2.4984279554437657E-2</v>
      </c>
      <c r="AG189" s="115">
        <f t="shared" si="62"/>
        <v>25.9072</v>
      </c>
      <c r="AH189" s="114">
        <v>128</v>
      </c>
      <c r="AI189" s="114">
        <v>275</v>
      </c>
      <c r="AJ189" s="114">
        <v>736</v>
      </c>
      <c r="AK189" s="114">
        <v>550</v>
      </c>
      <c r="AL189" s="115">
        <f t="shared" si="64"/>
        <v>111.32</v>
      </c>
      <c r="AM189" s="115">
        <f t="shared" si="65"/>
        <v>41.143871999999995</v>
      </c>
      <c r="AN189" s="116">
        <f t="shared" si="66"/>
        <v>151250</v>
      </c>
      <c r="AO189" s="116">
        <f t="shared" si="67"/>
        <v>35200</v>
      </c>
      <c r="AP189" s="117">
        <f t="shared" si="68"/>
        <v>1</v>
      </c>
      <c r="AQ189" s="118">
        <f t="shared" si="69"/>
        <v>3.8803072316559448</v>
      </c>
      <c r="AR189" s="119" t="s">
        <v>783</v>
      </c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</row>
    <row r="190" spans="1:123">
      <c r="A190" s="248" t="s">
        <v>429</v>
      </c>
      <c r="B190" s="19" t="s">
        <v>224</v>
      </c>
      <c r="C190" s="21" t="s">
        <v>328</v>
      </c>
      <c r="D190" s="22">
        <v>1</v>
      </c>
      <c r="E190" s="23" t="s">
        <v>740</v>
      </c>
      <c r="F190" s="17"/>
      <c r="G190" s="24" t="s">
        <v>753</v>
      </c>
      <c r="H190" s="17"/>
      <c r="I190" s="17"/>
      <c r="J190" s="25">
        <v>183</v>
      </c>
      <c r="K190" s="176" t="s">
        <v>53</v>
      </c>
      <c r="L190" s="176" t="s">
        <v>54</v>
      </c>
      <c r="M190" s="177" t="s">
        <v>568</v>
      </c>
      <c r="N190" s="190" t="s">
        <v>797</v>
      </c>
      <c r="O190" s="176" t="s">
        <v>760</v>
      </c>
      <c r="P190" s="149">
        <v>0</v>
      </c>
      <c r="Q190" s="178" t="s">
        <v>73</v>
      </c>
      <c r="R190" s="178" t="s">
        <v>26</v>
      </c>
      <c r="S190" s="177">
        <v>2031</v>
      </c>
      <c r="T190" s="179">
        <v>48213</v>
      </c>
      <c r="U190" s="180">
        <v>0.442</v>
      </c>
      <c r="V190" s="180">
        <v>0.35</v>
      </c>
      <c r="W190" s="181">
        <f t="shared" si="63"/>
        <v>0.79200000000000004</v>
      </c>
      <c r="X190" s="180">
        <v>0.05</v>
      </c>
      <c r="Y190" s="180">
        <v>7.0000000000000007E-2</v>
      </c>
      <c r="Z190" s="180">
        <v>6.8000000000000005E-2</v>
      </c>
      <c r="AA190" s="182">
        <v>0.19800000000000001</v>
      </c>
      <c r="AB190" s="180">
        <v>0.20799999999999996</v>
      </c>
      <c r="AC190" s="113">
        <f t="shared" si="52"/>
        <v>178172.5</v>
      </c>
      <c r="AD190" s="179"/>
      <c r="AE190" s="183">
        <f t="shared" si="60"/>
        <v>0</v>
      </c>
      <c r="AF190" s="182">
        <f t="shared" si="61"/>
        <v>0</v>
      </c>
      <c r="AG190" s="184">
        <f t="shared" si="62"/>
        <v>46.324849999999998</v>
      </c>
      <c r="AH190" s="183">
        <v>260</v>
      </c>
      <c r="AI190" s="183">
        <v>350</v>
      </c>
      <c r="AJ190" s="183">
        <v>509.06428571428569</v>
      </c>
      <c r="AK190" s="183">
        <v>1250</v>
      </c>
      <c r="AL190" s="184">
        <f t="shared" si="64"/>
        <v>222.71562499999999</v>
      </c>
      <c r="AM190" s="184">
        <f t="shared" si="65"/>
        <v>98.440306249999992</v>
      </c>
      <c r="AN190" s="151">
        <f t="shared" si="66"/>
        <v>437500</v>
      </c>
      <c r="AO190" s="151">
        <f t="shared" si="67"/>
        <v>91000</v>
      </c>
      <c r="AP190" s="152">
        <f t="shared" si="68"/>
        <v>0.64999999999999991</v>
      </c>
      <c r="AQ190" s="153">
        <f t="shared" si="69"/>
        <v>3.1249999999999991</v>
      </c>
      <c r="AR190" s="185" t="s">
        <v>783</v>
      </c>
    </row>
    <row r="191" spans="1:123" s="120" customFormat="1">
      <c r="A191" s="247" t="s">
        <v>426</v>
      </c>
      <c r="B191" s="103" t="s">
        <v>199</v>
      </c>
      <c r="C191" s="104" t="s">
        <v>324</v>
      </c>
      <c r="D191" s="33">
        <v>1</v>
      </c>
      <c r="E191" s="34" t="s">
        <v>740</v>
      </c>
      <c r="F191" s="35"/>
      <c r="G191" s="36">
        <v>2123</v>
      </c>
      <c r="H191" s="35"/>
      <c r="I191" s="35"/>
      <c r="J191" s="37">
        <v>155</v>
      </c>
      <c r="K191" s="105" t="s">
        <v>22</v>
      </c>
      <c r="L191" s="105" t="s">
        <v>44</v>
      </c>
      <c r="M191" s="106" t="s">
        <v>567</v>
      </c>
      <c r="N191" s="154" t="s">
        <v>47</v>
      </c>
      <c r="O191" s="105" t="s">
        <v>756</v>
      </c>
      <c r="P191" s="107">
        <v>114285.71</v>
      </c>
      <c r="Q191" s="108" t="s">
        <v>25</v>
      </c>
      <c r="R191" s="108" t="s">
        <v>759</v>
      </c>
      <c r="S191" s="106">
        <v>2032</v>
      </c>
      <c r="T191" s="109">
        <v>48579</v>
      </c>
      <c r="U191" s="110">
        <v>1</v>
      </c>
      <c r="V191" s="110"/>
      <c r="W191" s="111">
        <f t="shared" si="63"/>
        <v>1</v>
      </c>
      <c r="X191" s="110"/>
      <c r="Y191" s="110"/>
      <c r="Z191" s="110"/>
      <c r="AA191" s="112">
        <v>0.19800000000000001</v>
      </c>
      <c r="AB191" s="110"/>
      <c r="AC191" s="113">
        <f t="shared" si="52"/>
        <v>105000</v>
      </c>
      <c r="AD191" s="109"/>
      <c r="AE191" s="114">
        <f t="shared" si="60"/>
        <v>0.11428571000000001</v>
      </c>
      <c r="AF191" s="112">
        <f t="shared" si="61"/>
        <v>2.7908598290598292E-3</v>
      </c>
      <c r="AG191" s="115">
        <f t="shared" si="62"/>
        <v>13.9755</v>
      </c>
      <c r="AH191" s="114">
        <v>133.1</v>
      </c>
      <c r="AI191" s="114">
        <v>210</v>
      </c>
      <c r="AJ191" s="114">
        <v>500</v>
      </c>
      <c r="AK191" s="114">
        <v>390</v>
      </c>
      <c r="AL191" s="115">
        <f t="shared" si="64"/>
        <v>40.950000000000003</v>
      </c>
      <c r="AM191" s="115">
        <f t="shared" si="65"/>
        <v>40.950000000000003</v>
      </c>
      <c r="AN191" s="116">
        <f t="shared" si="66"/>
        <v>81900</v>
      </c>
      <c r="AO191" s="116">
        <f t="shared" si="67"/>
        <v>27951</v>
      </c>
      <c r="AP191" s="117">
        <f t="shared" si="68"/>
        <v>1</v>
      </c>
      <c r="AQ191" s="118">
        <f t="shared" si="69"/>
        <v>2.9063607383990511</v>
      </c>
      <c r="AR191" s="119" t="s">
        <v>783</v>
      </c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</row>
    <row r="192" spans="1:123">
      <c r="A192" s="248" t="s">
        <v>513</v>
      </c>
      <c r="B192" s="19" t="s">
        <v>298</v>
      </c>
      <c r="C192" s="21" t="s">
        <v>341</v>
      </c>
      <c r="D192" s="22">
        <v>1</v>
      </c>
      <c r="E192" s="23" t="s">
        <v>740</v>
      </c>
      <c r="F192" s="17"/>
      <c r="G192" s="24">
        <v>2107</v>
      </c>
      <c r="H192" s="17"/>
      <c r="I192" s="17"/>
      <c r="J192" s="25">
        <v>344</v>
      </c>
      <c r="K192" s="176" t="s">
        <v>159</v>
      </c>
      <c r="L192" s="176" t="s">
        <v>166</v>
      </c>
      <c r="M192" s="177" t="s">
        <v>577</v>
      </c>
      <c r="N192" s="190" t="s">
        <v>46</v>
      </c>
      <c r="O192" s="176" t="s">
        <v>756</v>
      </c>
      <c r="P192" s="149">
        <v>10682.93</v>
      </c>
      <c r="Q192" s="178" t="s">
        <v>25</v>
      </c>
      <c r="R192" s="178" t="s">
        <v>26</v>
      </c>
      <c r="S192" s="177">
        <v>2032</v>
      </c>
      <c r="T192" s="179">
        <v>48579</v>
      </c>
      <c r="U192" s="180">
        <v>0.7</v>
      </c>
      <c r="V192" s="180">
        <v>0.30000000000000004</v>
      </c>
      <c r="W192" s="181">
        <f t="shared" si="63"/>
        <v>1</v>
      </c>
      <c r="X192" s="180">
        <v>0.05</v>
      </c>
      <c r="Y192" s="180">
        <v>9.0000000000000011E-2</v>
      </c>
      <c r="Z192" s="180">
        <v>6.8000000000000005E-2</v>
      </c>
      <c r="AA192" s="182">
        <v>0.19800000000000001</v>
      </c>
      <c r="AB192" s="180"/>
      <c r="AC192" s="113">
        <f t="shared" si="52"/>
        <v>305440.9177937996</v>
      </c>
      <c r="AD192" s="179"/>
      <c r="AE192" s="183">
        <f t="shared" si="60"/>
        <v>1.068293E-2</v>
      </c>
      <c r="AF192" s="182">
        <f t="shared" si="61"/>
        <v>6.9950876766366641E-5</v>
      </c>
      <c r="AG192" s="184">
        <f t="shared" si="62"/>
        <v>40.623642066575343</v>
      </c>
      <c r="AH192" s="183">
        <v>133</v>
      </c>
      <c r="AI192" s="183">
        <v>263.76590483056958</v>
      </c>
      <c r="AJ192" s="183">
        <v>1158</v>
      </c>
      <c r="AK192" s="183">
        <v>500</v>
      </c>
      <c r="AL192" s="184">
        <f t="shared" si="64"/>
        <v>152.7204588968998</v>
      </c>
      <c r="AM192" s="184">
        <f t="shared" si="65"/>
        <v>106.90432122782985</v>
      </c>
      <c r="AN192" s="151">
        <f t="shared" si="66"/>
        <v>131882.95241528479</v>
      </c>
      <c r="AO192" s="151">
        <f t="shared" si="67"/>
        <v>35080.865342465753</v>
      </c>
      <c r="AP192" s="152">
        <f t="shared" si="68"/>
        <v>0.7</v>
      </c>
      <c r="AQ192" s="153">
        <f t="shared" si="69"/>
        <v>2.6308870945152831</v>
      </c>
      <c r="AR192" s="185" t="s">
        <v>783</v>
      </c>
    </row>
    <row r="193" spans="1:123" s="120" customFormat="1">
      <c r="A193" s="247" t="s">
        <v>474</v>
      </c>
      <c r="B193" s="103" t="s">
        <v>277</v>
      </c>
      <c r="C193" s="104" t="s">
        <v>369</v>
      </c>
      <c r="D193" s="33">
        <v>1</v>
      </c>
      <c r="E193" s="34" t="s">
        <v>740</v>
      </c>
      <c r="F193" s="35"/>
      <c r="G193" s="36" t="s">
        <v>753</v>
      </c>
      <c r="H193" s="35"/>
      <c r="I193" s="35"/>
      <c r="J193" s="37">
        <v>264</v>
      </c>
      <c r="K193" s="105" t="s">
        <v>103</v>
      </c>
      <c r="L193" s="105" t="s">
        <v>730</v>
      </c>
      <c r="M193" s="106" t="s">
        <v>583</v>
      </c>
      <c r="N193" s="154" t="s">
        <v>24</v>
      </c>
      <c r="O193" s="105" t="s">
        <v>760</v>
      </c>
      <c r="P193" s="107">
        <v>0</v>
      </c>
      <c r="Q193" s="108" t="s">
        <v>25</v>
      </c>
      <c r="R193" s="108" t="s">
        <v>26</v>
      </c>
      <c r="S193" s="106">
        <v>2032</v>
      </c>
      <c r="T193" s="109">
        <v>48395</v>
      </c>
      <c r="U193" s="110">
        <v>0.7</v>
      </c>
      <c r="V193" s="110">
        <v>0.30000000000000004</v>
      </c>
      <c r="W193" s="123">
        <f t="shared" si="63"/>
        <v>1</v>
      </c>
      <c r="X193" s="110">
        <v>0.05</v>
      </c>
      <c r="Y193" s="110">
        <v>0</v>
      </c>
      <c r="Z193" s="110">
        <v>6.8000000000000005E-2</v>
      </c>
      <c r="AA193" s="124">
        <v>0.19800000000000001</v>
      </c>
      <c r="AB193" s="110"/>
      <c r="AC193" s="113">
        <f t="shared" si="52"/>
        <v>167923</v>
      </c>
      <c r="AD193" s="109"/>
      <c r="AE193" s="114">
        <f t="shared" si="60"/>
        <v>0</v>
      </c>
      <c r="AF193" s="124">
        <f t="shared" si="61"/>
        <v>0</v>
      </c>
      <c r="AG193" s="114">
        <f t="shared" si="62"/>
        <v>27.371448999999998</v>
      </c>
      <c r="AH193" s="114">
        <v>163</v>
      </c>
      <c r="AI193" s="114">
        <v>203.29661016949152</v>
      </c>
      <c r="AJ193" s="114">
        <v>826</v>
      </c>
      <c r="AK193" s="114">
        <v>600</v>
      </c>
      <c r="AL193" s="114">
        <f t="shared" si="64"/>
        <v>100.7538</v>
      </c>
      <c r="AM193" s="114">
        <f t="shared" si="65"/>
        <v>70.527659999999997</v>
      </c>
      <c r="AN193" s="116">
        <f t="shared" si="66"/>
        <v>121977.96610169491</v>
      </c>
      <c r="AO193" s="126">
        <f t="shared" si="67"/>
        <v>33137.347457627118</v>
      </c>
      <c r="AP193" s="127">
        <f t="shared" si="68"/>
        <v>0.7</v>
      </c>
      <c r="AQ193" s="128">
        <f t="shared" si="69"/>
        <v>2.5766871165644174</v>
      </c>
      <c r="AR193" s="119" t="s">
        <v>783</v>
      </c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</row>
    <row r="194" spans="1:123">
      <c r="A194" s="248" t="s">
        <v>466</v>
      </c>
      <c r="B194" s="19" t="s">
        <v>265</v>
      </c>
      <c r="C194" s="21" t="s">
        <v>376</v>
      </c>
      <c r="D194" s="22">
        <v>1</v>
      </c>
      <c r="E194" s="23" t="s">
        <v>740</v>
      </c>
      <c r="F194" s="17"/>
      <c r="G194" s="24">
        <v>2286</v>
      </c>
      <c r="H194" s="17"/>
      <c r="I194" s="17"/>
      <c r="J194" s="25">
        <v>252</v>
      </c>
      <c r="K194" s="176" t="s">
        <v>103</v>
      </c>
      <c r="L194" s="176" t="s">
        <v>124</v>
      </c>
      <c r="M194" s="177" t="s">
        <v>583</v>
      </c>
      <c r="N194" s="190" t="s">
        <v>47</v>
      </c>
      <c r="O194" s="176" t="s">
        <v>760</v>
      </c>
      <c r="P194" s="149">
        <v>0</v>
      </c>
      <c r="Q194" s="178" t="s">
        <v>25</v>
      </c>
      <c r="R194" s="178" t="s">
        <v>26</v>
      </c>
      <c r="S194" s="177">
        <v>2032</v>
      </c>
      <c r="T194" s="179">
        <v>48395</v>
      </c>
      <c r="U194" s="180">
        <v>0.45</v>
      </c>
      <c r="V194" s="180">
        <v>0.5</v>
      </c>
      <c r="W194" s="181">
        <f t="shared" si="63"/>
        <v>0.95</v>
      </c>
      <c r="X194" s="180">
        <v>0.05</v>
      </c>
      <c r="Y194" s="180">
        <v>9.0000000000000011E-2</v>
      </c>
      <c r="Z194" s="180">
        <v>6.8000000000000005E-2</v>
      </c>
      <c r="AA194" s="182">
        <v>0.19800000000000001</v>
      </c>
      <c r="AB194" s="180">
        <v>5.0000000000000044E-2</v>
      </c>
      <c r="AC194" s="113">
        <f t="shared" si="52"/>
        <v>308574.72199999995</v>
      </c>
      <c r="AD194" s="179"/>
      <c r="AE194" s="183">
        <f t="shared" si="60"/>
        <v>0</v>
      </c>
      <c r="AF194" s="182">
        <f t="shared" si="61"/>
        <v>0</v>
      </c>
      <c r="AG194" s="184">
        <f t="shared" si="62"/>
        <v>50.297679685999995</v>
      </c>
      <c r="AH194" s="183">
        <v>163</v>
      </c>
      <c r="AI194" s="183">
        <v>299.00651356589145</v>
      </c>
      <c r="AJ194" s="183">
        <v>1032</v>
      </c>
      <c r="AK194" s="183">
        <v>550</v>
      </c>
      <c r="AL194" s="184">
        <f t="shared" si="64"/>
        <v>169.71609709999998</v>
      </c>
      <c r="AM194" s="184">
        <f t="shared" si="65"/>
        <v>76.372243694999995</v>
      </c>
      <c r="AN194" s="151">
        <f t="shared" si="66"/>
        <v>164453.58246124029</v>
      </c>
      <c r="AO194" s="151">
        <f t="shared" si="67"/>
        <v>48738.061711240305</v>
      </c>
      <c r="AP194" s="152">
        <f t="shared" si="68"/>
        <v>0.5</v>
      </c>
      <c r="AQ194" s="153">
        <f t="shared" si="69"/>
        <v>1.6871165644171779</v>
      </c>
      <c r="AR194" s="185" t="s">
        <v>783</v>
      </c>
    </row>
    <row r="195" spans="1:123" s="120" customFormat="1">
      <c r="A195" s="247" t="s">
        <v>475</v>
      </c>
      <c r="B195" s="103" t="s">
        <v>279</v>
      </c>
      <c r="C195" s="104" t="s">
        <v>368</v>
      </c>
      <c r="D195" s="33">
        <v>0</v>
      </c>
      <c r="E195" s="34" t="s">
        <v>740</v>
      </c>
      <c r="F195" s="35"/>
      <c r="G195" s="36">
        <v>2290</v>
      </c>
      <c r="H195" s="35"/>
      <c r="I195" s="35"/>
      <c r="J195" s="37">
        <v>266</v>
      </c>
      <c r="K195" s="105" t="s">
        <v>103</v>
      </c>
      <c r="L195" s="105" t="s">
        <v>138</v>
      </c>
      <c r="M195" s="106" t="s">
        <v>572</v>
      </c>
      <c r="N195" s="154" t="s">
        <v>24</v>
      </c>
      <c r="O195" s="105" t="s">
        <v>760</v>
      </c>
      <c r="P195" s="107">
        <v>0</v>
      </c>
      <c r="Q195" s="108" t="s">
        <v>25</v>
      </c>
      <c r="R195" s="108" t="s">
        <v>26</v>
      </c>
      <c r="S195" s="106">
        <v>2032</v>
      </c>
      <c r="T195" s="109">
        <v>48487</v>
      </c>
      <c r="U195" s="110">
        <v>0.7</v>
      </c>
      <c r="V195" s="110">
        <v>0.30000000000000004</v>
      </c>
      <c r="W195" s="123">
        <f t="shared" si="63"/>
        <v>1</v>
      </c>
      <c r="X195" s="110">
        <v>0.05</v>
      </c>
      <c r="Y195" s="110">
        <v>0</v>
      </c>
      <c r="Z195" s="110">
        <v>6.8000000000000005E-2</v>
      </c>
      <c r="AA195" s="124">
        <v>0.19800000000000001</v>
      </c>
      <c r="AB195" s="110"/>
      <c r="AC195" s="113">
        <f t="shared" si="52"/>
        <v>134500</v>
      </c>
      <c r="AD195" s="109"/>
      <c r="AE195" s="114">
        <f t="shared" si="60"/>
        <v>0</v>
      </c>
      <c r="AF195" s="124">
        <f t="shared" si="61"/>
        <v>0</v>
      </c>
      <c r="AG195" s="114">
        <f t="shared" si="62"/>
        <v>21.923500000000001</v>
      </c>
      <c r="AH195" s="114">
        <v>163</v>
      </c>
      <c r="AI195" s="114">
        <v>269</v>
      </c>
      <c r="AJ195" s="114">
        <v>500</v>
      </c>
      <c r="AK195" s="114">
        <v>600</v>
      </c>
      <c r="AL195" s="114">
        <f t="shared" si="64"/>
        <v>80.7</v>
      </c>
      <c r="AM195" s="114">
        <f t="shared" si="65"/>
        <v>56.489999999999995</v>
      </c>
      <c r="AN195" s="116">
        <f t="shared" si="66"/>
        <v>161400</v>
      </c>
      <c r="AO195" s="126">
        <f t="shared" si="67"/>
        <v>43847</v>
      </c>
      <c r="AP195" s="127">
        <f t="shared" si="68"/>
        <v>0.7</v>
      </c>
      <c r="AQ195" s="128">
        <f t="shared" si="69"/>
        <v>2.576687116564417</v>
      </c>
      <c r="AR195" s="119" t="s">
        <v>783</v>
      </c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</row>
    <row r="196" spans="1:123">
      <c r="A196" s="248" t="s">
        <v>477</v>
      </c>
      <c r="B196" s="19" t="s">
        <v>412</v>
      </c>
      <c r="C196" s="21" t="s">
        <v>366</v>
      </c>
      <c r="D196" s="22">
        <v>1</v>
      </c>
      <c r="E196" s="23" t="s">
        <v>740</v>
      </c>
      <c r="F196" s="17"/>
      <c r="G196" s="24" t="s">
        <v>753</v>
      </c>
      <c r="H196" s="17"/>
      <c r="I196" s="17"/>
      <c r="J196" s="25">
        <v>268</v>
      </c>
      <c r="K196" s="176" t="s">
        <v>103</v>
      </c>
      <c r="L196" s="176" t="s">
        <v>112</v>
      </c>
      <c r="M196" s="177" t="s">
        <v>574</v>
      </c>
      <c r="N196" s="190" t="s">
        <v>818</v>
      </c>
      <c r="O196" s="176" t="s">
        <v>760</v>
      </c>
      <c r="P196" s="149">
        <v>0</v>
      </c>
      <c r="Q196" s="178" t="s">
        <v>25</v>
      </c>
      <c r="R196" s="178" t="s">
        <v>26</v>
      </c>
      <c r="S196" s="177">
        <v>2032</v>
      </c>
      <c r="T196" s="179">
        <v>48578</v>
      </c>
      <c r="U196" s="180">
        <v>0.7</v>
      </c>
      <c r="V196" s="180">
        <v>0.30000000000000004</v>
      </c>
      <c r="W196" s="181">
        <f t="shared" si="63"/>
        <v>1</v>
      </c>
      <c r="X196" s="180">
        <v>0.05</v>
      </c>
      <c r="Y196" s="180">
        <v>0</v>
      </c>
      <c r="Z196" s="180">
        <v>6.8000000000000005E-2</v>
      </c>
      <c r="AA196" s="182">
        <v>0.19800000000000001</v>
      </c>
      <c r="AB196" s="180"/>
      <c r="AC196" s="113">
        <f t="shared" si="52"/>
        <v>96864</v>
      </c>
      <c r="AD196" s="179"/>
      <c r="AE196" s="183">
        <f t="shared" si="60"/>
        <v>0</v>
      </c>
      <c r="AF196" s="182">
        <f t="shared" si="61"/>
        <v>0</v>
      </c>
      <c r="AG196" s="184">
        <f t="shared" si="62"/>
        <v>15.788831999999999</v>
      </c>
      <c r="AH196" s="183">
        <v>163</v>
      </c>
      <c r="AI196" s="183">
        <v>232.28776978417267</v>
      </c>
      <c r="AJ196" s="183">
        <v>417</v>
      </c>
      <c r="AK196" s="183">
        <v>600</v>
      </c>
      <c r="AL196" s="184">
        <f t="shared" si="64"/>
        <v>58.118400000000001</v>
      </c>
      <c r="AM196" s="184">
        <f t="shared" si="65"/>
        <v>40.682879999999997</v>
      </c>
      <c r="AN196" s="151">
        <f t="shared" si="66"/>
        <v>139372.66187050359</v>
      </c>
      <c r="AO196" s="151">
        <f t="shared" si="67"/>
        <v>37862.906474820142</v>
      </c>
      <c r="AP196" s="152">
        <f t="shared" si="68"/>
        <v>0.7</v>
      </c>
      <c r="AQ196" s="153">
        <f t="shared" si="69"/>
        <v>2.576687116564417</v>
      </c>
      <c r="AR196" s="185" t="s">
        <v>783</v>
      </c>
      <c r="AS196" s="15" t="s">
        <v>819</v>
      </c>
    </row>
    <row r="197" spans="1:123" s="120" customFormat="1">
      <c r="A197" s="247" t="s">
        <v>482</v>
      </c>
      <c r="B197" s="103" t="s">
        <v>666</v>
      </c>
      <c r="C197" s="104" t="s">
        <v>363</v>
      </c>
      <c r="D197" s="33">
        <v>1</v>
      </c>
      <c r="E197" s="34" t="s">
        <v>740</v>
      </c>
      <c r="F197" s="35"/>
      <c r="G197" s="36">
        <v>2377</v>
      </c>
      <c r="H197" s="35"/>
      <c r="I197" s="35"/>
      <c r="J197" s="37">
        <v>280</v>
      </c>
      <c r="K197" s="105" t="s">
        <v>143</v>
      </c>
      <c r="L197" s="105" t="s">
        <v>145</v>
      </c>
      <c r="M197" s="106" t="s">
        <v>575</v>
      </c>
      <c r="N197" s="154" t="s">
        <v>600</v>
      </c>
      <c r="O197" s="105" t="s">
        <v>760</v>
      </c>
      <c r="P197" s="107">
        <v>0</v>
      </c>
      <c r="Q197" s="108" t="s">
        <v>25</v>
      </c>
      <c r="R197" s="108" t="s">
        <v>26</v>
      </c>
      <c r="S197" s="106">
        <v>2030</v>
      </c>
      <c r="T197" s="109">
        <v>48579</v>
      </c>
      <c r="U197" s="110">
        <v>0.56000000000000005</v>
      </c>
      <c r="V197" s="110">
        <v>0.29999999999999993</v>
      </c>
      <c r="W197" s="111">
        <f t="shared" si="63"/>
        <v>0.86</v>
      </c>
      <c r="X197" s="110">
        <v>7.0000000000000007E-2</v>
      </c>
      <c r="Y197" s="110">
        <v>9.5000000000000001E-2</v>
      </c>
      <c r="Z197" s="110">
        <v>6.8000000000000005E-2</v>
      </c>
      <c r="AA197" s="112">
        <v>0.19800000000000001</v>
      </c>
      <c r="AB197" s="110">
        <v>0.14000000000000001</v>
      </c>
      <c r="AC197" s="113">
        <f t="shared" si="52"/>
        <v>220066.66666666669</v>
      </c>
      <c r="AD197" s="109"/>
      <c r="AE197" s="114">
        <f t="shared" si="60"/>
        <v>0</v>
      </c>
      <c r="AF197" s="112">
        <f t="shared" si="61"/>
        <v>0</v>
      </c>
      <c r="AG197" s="115">
        <f t="shared" si="62"/>
        <v>38.51166666666667</v>
      </c>
      <c r="AH197" s="114">
        <v>175</v>
      </c>
      <c r="AI197" s="114">
        <v>269.03015484922577</v>
      </c>
      <c r="AJ197" s="114">
        <v>818</v>
      </c>
      <c r="AK197" s="114">
        <v>650</v>
      </c>
      <c r="AL197" s="115">
        <f t="shared" si="64"/>
        <v>143.04333333333335</v>
      </c>
      <c r="AM197" s="115">
        <f t="shared" si="65"/>
        <v>80.104266666666689</v>
      </c>
      <c r="AN197" s="116">
        <f t="shared" si="66"/>
        <v>174869.60065199673</v>
      </c>
      <c r="AO197" s="116">
        <f t="shared" si="67"/>
        <v>47080.277098614511</v>
      </c>
      <c r="AP197" s="117">
        <f t="shared" si="68"/>
        <v>0.70000000000000007</v>
      </c>
      <c r="AQ197" s="118">
        <f t="shared" si="69"/>
        <v>2.6</v>
      </c>
      <c r="AR197" s="119" t="s">
        <v>783</v>
      </c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</row>
    <row r="198" spans="1:123">
      <c r="A198" s="248" t="s">
        <v>483</v>
      </c>
      <c r="B198" s="19" t="s">
        <v>668</v>
      </c>
      <c r="C198" s="21" t="s">
        <v>362</v>
      </c>
      <c r="D198" s="22">
        <v>1</v>
      </c>
      <c r="E198" s="23" t="s">
        <v>740</v>
      </c>
      <c r="F198" s="17"/>
      <c r="G198" s="24">
        <v>2381</v>
      </c>
      <c r="H198" s="17"/>
      <c r="I198" s="17"/>
      <c r="J198" s="25">
        <v>286</v>
      </c>
      <c r="K198" s="176" t="s">
        <v>143</v>
      </c>
      <c r="L198" s="176" t="s">
        <v>146</v>
      </c>
      <c r="M198" s="177" t="s">
        <v>575</v>
      </c>
      <c r="N198" s="190" t="s">
        <v>827</v>
      </c>
      <c r="O198" s="176" t="s">
        <v>760</v>
      </c>
      <c r="P198" s="149">
        <v>0</v>
      </c>
      <c r="Q198" s="178" t="s">
        <v>25</v>
      </c>
      <c r="R198" s="178" t="s">
        <v>26</v>
      </c>
      <c r="S198" s="177">
        <v>2030</v>
      </c>
      <c r="T198" s="179">
        <v>48579</v>
      </c>
      <c r="U198" s="180">
        <v>0.43409999999999999</v>
      </c>
      <c r="V198" s="180">
        <v>0.29899999999999999</v>
      </c>
      <c r="W198" s="181">
        <f t="shared" si="63"/>
        <v>0.73309999999999997</v>
      </c>
      <c r="X198" s="180">
        <v>7.0000000000000007E-2</v>
      </c>
      <c r="Y198" s="180">
        <v>0.06</v>
      </c>
      <c r="Z198" s="180">
        <v>6.8000000000000005E-2</v>
      </c>
      <c r="AA198" s="182">
        <v>0.19800000000000001</v>
      </c>
      <c r="AB198" s="180">
        <v>0.26690000000000003</v>
      </c>
      <c r="AC198" s="113">
        <f t="shared" ref="AC198:AC240" si="70">AI198*AJ198</f>
        <v>168000</v>
      </c>
      <c r="AD198" s="179"/>
      <c r="AE198" s="183">
        <f t="shared" si="60"/>
        <v>0</v>
      </c>
      <c r="AF198" s="182">
        <f t="shared" si="61"/>
        <v>0</v>
      </c>
      <c r="AG198" s="184">
        <f t="shared" si="62"/>
        <v>29.4</v>
      </c>
      <c r="AH198" s="183">
        <v>175</v>
      </c>
      <c r="AI198" s="183">
        <v>200</v>
      </c>
      <c r="AJ198" s="183">
        <v>840</v>
      </c>
      <c r="AK198" s="183">
        <v>700</v>
      </c>
      <c r="AL198" s="184">
        <f t="shared" si="64"/>
        <v>117.6</v>
      </c>
      <c r="AM198" s="184">
        <f t="shared" si="65"/>
        <v>51.050159999999998</v>
      </c>
      <c r="AN198" s="151">
        <f t="shared" si="66"/>
        <v>140000</v>
      </c>
      <c r="AO198" s="151">
        <f t="shared" si="67"/>
        <v>35000</v>
      </c>
      <c r="AP198" s="152">
        <f t="shared" si="68"/>
        <v>0.70100000000000007</v>
      </c>
      <c r="AQ198" s="153">
        <f t="shared" si="69"/>
        <v>2.8040000000000003</v>
      </c>
      <c r="AR198" s="185" t="s">
        <v>783</v>
      </c>
    </row>
    <row r="199" spans="1:123" s="120" customFormat="1">
      <c r="A199" s="247" t="s">
        <v>483</v>
      </c>
      <c r="B199" s="103" t="s">
        <v>670</v>
      </c>
      <c r="C199" s="104" t="s">
        <v>362</v>
      </c>
      <c r="D199" s="33">
        <v>1</v>
      </c>
      <c r="E199" s="34" t="s">
        <v>740</v>
      </c>
      <c r="F199" s="35"/>
      <c r="G199" s="36">
        <v>2381</v>
      </c>
      <c r="H199" s="35"/>
      <c r="I199" s="35"/>
      <c r="J199" s="37">
        <v>288</v>
      </c>
      <c r="K199" s="105" t="s">
        <v>143</v>
      </c>
      <c r="L199" s="105" t="s">
        <v>146</v>
      </c>
      <c r="M199" s="106" t="s">
        <v>575</v>
      </c>
      <c r="N199" s="154" t="s">
        <v>844</v>
      </c>
      <c r="O199" s="105" t="s">
        <v>760</v>
      </c>
      <c r="P199" s="107">
        <v>0</v>
      </c>
      <c r="Q199" s="108" t="s">
        <v>25</v>
      </c>
      <c r="R199" s="108" t="s">
        <v>26</v>
      </c>
      <c r="S199" s="106">
        <v>2032</v>
      </c>
      <c r="T199" s="109">
        <v>48579</v>
      </c>
      <c r="U199" s="110">
        <v>0.44</v>
      </c>
      <c r="V199" s="110">
        <v>0.32</v>
      </c>
      <c r="W199" s="111">
        <f t="shared" si="63"/>
        <v>0.76</v>
      </c>
      <c r="X199" s="110">
        <v>7.0000000000000007E-2</v>
      </c>
      <c r="Y199" s="110">
        <v>9.5000000000000001E-2</v>
      </c>
      <c r="Z199" s="110">
        <v>6.8000000000000005E-2</v>
      </c>
      <c r="AA199" s="112">
        <v>0.19800000000000001</v>
      </c>
      <c r="AB199" s="110">
        <v>0.24</v>
      </c>
      <c r="AC199" s="113">
        <f t="shared" si="70"/>
        <v>232500</v>
      </c>
      <c r="AD199" s="109"/>
      <c r="AE199" s="114">
        <f t="shared" si="60"/>
        <v>0</v>
      </c>
      <c r="AF199" s="112">
        <f t="shared" si="61"/>
        <v>0</v>
      </c>
      <c r="AG199" s="115">
        <f t="shared" si="62"/>
        <v>40.6875</v>
      </c>
      <c r="AH199" s="114">
        <v>175</v>
      </c>
      <c r="AI199" s="114">
        <v>180</v>
      </c>
      <c r="AJ199" s="114">
        <v>1291.6666666666667</v>
      </c>
      <c r="AK199" s="114">
        <v>700</v>
      </c>
      <c r="AL199" s="115">
        <f t="shared" si="64"/>
        <v>162.75</v>
      </c>
      <c r="AM199" s="115">
        <f t="shared" si="65"/>
        <v>71.61</v>
      </c>
      <c r="AN199" s="116">
        <f t="shared" si="66"/>
        <v>126000</v>
      </c>
      <c r="AO199" s="116">
        <f t="shared" si="67"/>
        <v>31500</v>
      </c>
      <c r="AP199" s="117">
        <f t="shared" si="68"/>
        <v>0.67999999999999994</v>
      </c>
      <c r="AQ199" s="118">
        <f t="shared" si="69"/>
        <v>2.7199999999999998</v>
      </c>
      <c r="AR199" s="119" t="s">
        <v>783</v>
      </c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</row>
    <row r="200" spans="1:123">
      <c r="A200" s="248" t="s">
        <v>500</v>
      </c>
      <c r="B200" s="19" t="s">
        <v>693</v>
      </c>
      <c r="C200" s="21" t="s">
        <v>348</v>
      </c>
      <c r="D200" s="22">
        <v>1</v>
      </c>
      <c r="E200" s="23" t="s">
        <v>740</v>
      </c>
      <c r="F200" s="17"/>
      <c r="G200" s="24">
        <v>2383</v>
      </c>
      <c r="H200" s="17"/>
      <c r="I200" s="17"/>
      <c r="J200" s="25">
        <v>316</v>
      </c>
      <c r="K200" s="176" t="s">
        <v>143</v>
      </c>
      <c r="L200" s="176" t="s">
        <v>728</v>
      </c>
      <c r="M200" s="177" t="s">
        <v>575</v>
      </c>
      <c r="N200" s="190" t="s">
        <v>626</v>
      </c>
      <c r="O200" s="176" t="s">
        <v>760</v>
      </c>
      <c r="P200" s="149">
        <v>0</v>
      </c>
      <c r="Q200" s="178" t="s">
        <v>25</v>
      </c>
      <c r="R200" s="178" t="s">
        <v>26</v>
      </c>
      <c r="S200" s="177">
        <v>2032</v>
      </c>
      <c r="T200" s="179">
        <v>48395</v>
      </c>
      <c r="U200" s="180">
        <v>0.64800000000000002</v>
      </c>
      <c r="V200" s="180">
        <v>0.18999999999999995</v>
      </c>
      <c r="W200" s="181">
        <f t="shared" si="63"/>
        <v>0.83799999999999997</v>
      </c>
      <c r="X200" s="180">
        <v>7.0000000000000007E-2</v>
      </c>
      <c r="Y200" s="180">
        <v>0.08</v>
      </c>
      <c r="Z200" s="180">
        <v>6.8000000000000005E-2</v>
      </c>
      <c r="AA200" s="182">
        <v>0.19800000000000001</v>
      </c>
      <c r="AB200" s="180">
        <v>0.16200000000000003</v>
      </c>
      <c r="AC200" s="113">
        <f t="shared" si="70"/>
        <v>269500</v>
      </c>
      <c r="AD200" s="179"/>
      <c r="AE200" s="183">
        <f t="shared" si="60"/>
        <v>0</v>
      </c>
      <c r="AF200" s="182">
        <f t="shared" si="61"/>
        <v>0</v>
      </c>
      <c r="AG200" s="184">
        <f t="shared" si="62"/>
        <v>47.162500000000001</v>
      </c>
      <c r="AH200" s="183">
        <v>175</v>
      </c>
      <c r="AI200" s="183">
        <v>245</v>
      </c>
      <c r="AJ200" s="183">
        <v>1100</v>
      </c>
      <c r="AK200" s="183">
        <v>550</v>
      </c>
      <c r="AL200" s="184">
        <f t="shared" si="64"/>
        <v>148.22499999999999</v>
      </c>
      <c r="AM200" s="184">
        <f t="shared" si="65"/>
        <v>96.049800000000005</v>
      </c>
      <c r="AN200" s="151">
        <f t="shared" si="66"/>
        <v>134750</v>
      </c>
      <c r="AO200" s="151">
        <f t="shared" si="67"/>
        <v>42875</v>
      </c>
      <c r="AP200" s="152">
        <f t="shared" si="68"/>
        <v>0.81</v>
      </c>
      <c r="AQ200" s="153">
        <f t="shared" si="69"/>
        <v>2.5457142857142858</v>
      </c>
      <c r="AR200" s="185" t="s">
        <v>783</v>
      </c>
    </row>
    <row r="201" spans="1:123" s="120" customFormat="1">
      <c r="A201" s="247" t="s">
        <v>501</v>
      </c>
      <c r="B201" s="103" t="s">
        <v>695</v>
      </c>
      <c r="C201" s="104" t="s">
        <v>347</v>
      </c>
      <c r="D201" s="33">
        <v>1</v>
      </c>
      <c r="E201" s="34" t="s">
        <v>739</v>
      </c>
      <c r="F201" s="35"/>
      <c r="G201" s="36">
        <v>2391</v>
      </c>
      <c r="H201" s="35"/>
      <c r="I201" s="35"/>
      <c r="J201" s="37">
        <v>319</v>
      </c>
      <c r="K201" s="105" t="s">
        <v>143</v>
      </c>
      <c r="L201" s="105" t="s">
        <v>154</v>
      </c>
      <c r="M201" s="106" t="s">
        <v>568</v>
      </c>
      <c r="N201" s="154" t="s">
        <v>590</v>
      </c>
      <c r="O201" s="105" t="s">
        <v>760</v>
      </c>
      <c r="P201" s="107">
        <v>0</v>
      </c>
      <c r="Q201" s="108" t="s">
        <v>25</v>
      </c>
      <c r="R201" s="108" t="s">
        <v>26</v>
      </c>
      <c r="S201" s="106">
        <v>2032</v>
      </c>
      <c r="T201" s="109">
        <v>48487</v>
      </c>
      <c r="U201" s="110">
        <v>0.6</v>
      </c>
      <c r="V201" s="110">
        <v>0.25</v>
      </c>
      <c r="W201" s="111">
        <f t="shared" si="63"/>
        <v>0.85</v>
      </c>
      <c r="X201" s="110">
        <v>7.0000000000000007E-2</v>
      </c>
      <c r="Y201" s="110">
        <v>7.0000000000000007E-2</v>
      </c>
      <c r="Z201" s="110">
        <v>6.8000000000000005E-2</v>
      </c>
      <c r="AA201" s="112">
        <v>0.19800000000000001</v>
      </c>
      <c r="AB201" s="110">
        <v>0.15000000000000002</v>
      </c>
      <c r="AC201" s="113">
        <f t="shared" si="70"/>
        <v>283467.09677419352</v>
      </c>
      <c r="AD201" s="109"/>
      <c r="AE201" s="114">
        <f t="shared" si="60"/>
        <v>0</v>
      </c>
      <c r="AF201" s="112">
        <f t="shared" si="61"/>
        <v>0</v>
      </c>
      <c r="AG201" s="115">
        <f t="shared" si="62"/>
        <v>49.606741935483875</v>
      </c>
      <c r="AH201" s="114">
        <v>175</v>
      </c>
      <c r="AI201" s="114">
        <v>224.97388632872503</v>
      </c>
      <c r="AJ201" s="114">
        <v>1260</v>
      </c>
      <c r="AK201" s="114">
        <v>550</v>
      </c>
      <c r="AL201" s="115">
        <f t="shared" si="64"/>
        <v>155.90690322580645</v>
      </c>
      <c r="AM201" s="115">
        <f t="shared" si="65"/>
        <v>93.544141935483864</v>
      </c>
      <c r="AN201" s="116">
        <f t="shared" si="66"/>
        <v>123735.63748079876</v>
      </c>
      <c r="AO201" s="116">
        <f t="shared" si="67"/>
        <v>39370.430107526881</v>
      </c>
      <c r="AP201" s="117">
        <f t="shared" si="68"/>
        <v>0.75</v>
      </c>
      <c r="AQ201" s="118">
        <f t="shared" si="69"/>
        <v>2.3571428571428568</v>
      </c>
      <c r="AR201" s="119" t="s">
        <v>783</v>
      </c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</row>
    <row r="202" spans="1:123">
      <c r="A202" s="248" t="s">
        <v>428</v>
      </c>
      <c r="B202" s="19" t="s">
        <v>210</v>
      </c>
      <c r="C202" s="21" t="s">
        <v>327</v>
      </c>
      <c r="D202" s="22">
        <v>1</v>
      </c>
      <c r="E202" s="23" t="s">
        <v>740</v>
      </c>
      <c r="F202" s="17"/>
      <c r="G202" s="24" t="s">
        <v>753</v>
      </c>
      <c r="H202" s="17"/>
      <c r="I202" s="17"/>
      <c r="J202" s="25">
        <v>166</v>
      </c>
      <c r="K202" s="176" t="s">
        <v>53</v>
      </c>
      <c r="L202" s="176" t="s">
        <v>54</v>
      </c>
      <c r="M202" s="177" t="s">
        <v>568</v>
      </c>
      <c r="N202" s="190" t="s">
        <v>60</v>
      </c>
      <c r="O202" s="176" t="s">
        <v>756</v>
      </c>
      <c r="P202" s="149">
        <v>2781250</v>
      </c>
      <c r="Q202" s="178" t="s">
        <v>25</v>
      </c>
      <c r="R202" s="178" t="s">
        <v>26</v>
      </c>
      <c r="S202" s="177">
        <v>2032</v>
      </c>
      <c r="T202" s="179">
        <v>48579</v>
      </c>
      <c r="U202" s="180">
        <v>0.36959999999999998</v>
      </c>
      <c r="V202" s="180"/>
      <c r="W202" s="181">
        <f t="shared" si="63"/>
        <v>0.36959999999999998</v>
      </c>
      <c r="X202" s="180"/>
      <c r="Y202" s="180"/>
      <c r="Z202" s="180"/>
      <c r="AA202" s="182">
        <v>0.19800000000000001</v>
      </c>
      <c r="AB202" s="180">
        <v>0.63040000000000007</v>
      </c>
      <c r="AC202" s="113">
        <f t="shared" si="70"/>
        <v>202400</v>
      </c>
      <c r="AD202" s="179"/>
      <c r="AE202" s="183">
        <f t="shared" si="60"/>
        <v>2.78125</v>
      </c>
      <c r="AF202" s="182">
        <f t="shared" si="61"/>
        <v>2.4984279554437657E-2</v>
      </c>
      <c r="AG202" s="184">
        <f t="shared" si="62"/>
        <v>25.9072</v>
      </c>
      <c r="AH202" s="183">
        <v>128</v>
      </c>
      <c r="AI202" s="183">
        <v>275</v>
      </c>
      <c r="AJ202" s="183">
        <v>736</v>
      </c>
      <c r="AK202" s="183">
        <v>550</v>
      </c>
      <c r="AL202" s="184">
        <f t="shared" si="64"/>
        <v>111.32</v>
      </c>
      <c r="AM202" s="184">
        <f t="shared" si="65"/>
        <v>41.143871999999995</v>
      </c>
      <c r="AN202" s="151">
        <f t="shared" si="66"/>
        <v>151250</v>
      </c>
      <c r="AO202" s="151">
        <f t="shared" si="67"/>
        <v>35200</v>
      </c>
      <c r="AP202" s="152">
        <f t="shared" si="68"/>
        <v>1</v>
      </c>
      <c r="AQ202" s="153">
        <f t="shared" si="69"/>
        <v>3.8803072316559448</v>
      </c>
      <c r="AR202" s="185" t="s">
        <v>783</v>
      </c>
    </row>
    <row r="203" spans="1:123" s="120" customFormat="1">
      <c r="A203" s="247" t="s">
        <v>508</v>
      </c>
      <c r="B203" s="103" t="s">
        <v>283</v>
      </c>
      <c r="C203" s="104" t="s">
        <v>343</v>
      </c>
      <c r="D203" s="33">
        <v>1</v>
      </c>
      <c r="E203" s="34" t="s">
        <v>740</v>
      </c>
      <c r="F203" s="35"/>
      <c r="G203" s="36">
        <v>2106</v>
      </c>
      <c r="H203" s="35"/>
      <c r="I203" s="35"/>
      <c r="J203" s="37">
        <v>328</v>
      </c>
      <c r="K203" s="105" t="s">
        <v>159</v>
      </c>
      <c r="L203" s="154" t="s">
        <v>160</v>
      </c>
      <c r="M203" s="155" t="s">
        <v>576</v>
      </c>
      <c r="N203" s="154" t="s">
        <v>46</v>
      </c>
      <c r="O203" s="105" t="s">
        <v>756</v>
      </c>
      <c r="P203" s="107">
        <v>1436252.3</v>
      </c>
      <c r="Q203" s="108" t="s">
        <v>25</v>
      </c>
      <c r="R203" s="108" t="s">
        <v>26</v>
      </c>
      <c r="S203" s="106">
        <v>2033</v>
      </c>
      <c r="T203" s="109">
        <v>48760</v>
      </c>
      <c r="U203" s="110">
        <v>0.7</v>
      </c>
      <c r="V203" s="110">
        <v>0.30000000000000004</v>
      </c>
      <c r="W203" s="111">
        <f t="shared" si="63"/>
        <v>1</v>
      </c>
      <c r="X203" s="110">
        <v>0.05</v>
      </c>
      <c r="Y203" s="110">
        <v>9.0000000000000011E-2</v>
      </c>
      <c r="Z203" s="110">
        <v>6.8000000000000005E-2</v>
      </c>
      <c r="AA203" s="112">
        <v>0.19800000000000001</v>
      </c>
      <c r="AB203" s="110"/>
      <c r="AC203" s="113">
        <f t="shared" si="70"/>
        <v>232066.42500000002</v>
      </c>
      <c r="AD203" s="109"/>
      <c r="AE203" s="114">
        <f t="shared" si="60"/>
        <v>1.4362523</v>
      </c>
      <c r="AF203" s="112">
        <f t="shared" si="61"/>
        <v>1.2377941358815689E-2</v>
      </c>
      <c r="AG203" s="115">
        <f t="shared" si="62"/>
        <v>37.130628000000009</v>
      </c>
      <c r="AH203" s="114">
        <v>160</v>
      </c>
      <c r="AI203" s="114">
        <v>270.15881839348083</v>
      </c>
      <c r="AJ203" s="114">
        <v>859</v>
      </c>
      <c r="AK203" s="114">
        <v>500.00000000000006</v>
      </c>
      <c r="AL203" s="115">
        <f t="shared" si="64"/>
        <v>116.03321250000003</v>
      </c>
      <c r="AM203" s="115">
        <f t="shared" si="65"/>
        <v>81.223248750000025</v>
      </c>
      <c r="AN203" s="116">
        <f t="shared" si="66"/>
        <v>135079.40919674042</v>
      </c>
      <c r="AO203" s="116">
        <f t="shared" si="67"/>
        <v>43225.410942956936</v>
      </c>
      <c r="AP203" s="117">
        <f t="shared" si="68"/>
        <v>0.7</v>
      </c>
      <c r="AQ203" s="118">
        <f t="shared" si="69"/>
        <v>2.1060362704525004</v>
      </c>
      <c r="AR203" s="119" t="s">
        <v>783</v>
      </c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</row>
    <row r="204" spans="1:123">
      <c r="A204" s="248" t="s">
        <v>456</v>
      </c>
      <c r="B204" s="19" t="s">
        <v>643</v>
      </c>
      <c r="C204" s="21" t="s">
        <v>382</v>
      </c>
      <c r="D204" s="22">
        <v>1</v>
      </c>
      <c r="E204" s="23" t="s">
        <v>740</v>
      </c>
      <c r="F204" s="17"/>
      <c r="G204" s="24">
        <v>2278</v>
      </c>
      <c r="H204" s="17"/>
      <c r="I204" s="17"/>
      <c r="J204" s="25">
        <v>230</v>
      </c>
      <c r="K204" s="176" t="s">
        <v>103</v>
      </c>
      <c r="L204" s="176" t="s">
        <v>582</v>
      </c>
      <c r="M204" s="177" t="s">
        <v>574</v>
      </c>
      <c r="N204" s="190" t="s">
        <v>47</v>
      </c>
      <c r="O204" s="176" t="s">
        <v>760</v>
      </c>
      <c r="P204" s="149">
        <v>0</v>
      </c>
      <c r="Q204" s="178" t="s">
        <v>25</v>
      </c>
      <c r="R204" s="178" t="s">
        <v>26</v>
      </c>
      <c r="S204" s="177">
        <v>2033</v>
      </c>
      <c r="T204" s="179">
        <v>48944</v>
      </c>
      <c r="U204" s="180">
        <v>0.59585500000000002</v>
      </c>
      <c r="V204" s="180">
        <v>0.35</v>
      </c>
      <c r="W204" s="181">
        <f t="shared" si="63"/>
        <v>0.945855</v>
      </c>
      <c r="X204" s="180">
        <v>0.05</v>
      </c>
      <c r="Y204" s="180">
        <v>9.0000000000000011E-2</v>
      </c>
      <c r="Z204" s="180">
        <v>6.8000000000000005E-2</v>
      </c>
      <c r="AA204" s="182">
        <v>0.19800000000000001</v>
      </c>
      <c r="AB204" s="180">
        <v>5.4144999999999999E-2</v>
      </c>
      <c r="AC204" s="113">
        <f t="shared" si="70"/>
        <v>220800</v>
      </c>
      <c r="AD204" s="179"/>
      <c r="AE204" s="183">
        <f t="shared" si="60"/>
        <v>0</v>
      </c>
      <c r="AF204" s="182">
        <f t="shared" si="61"/>
        <v>0</v>
      </c>
      <c r="AG204" s="184">
        <f t="shared" si="62"/>
        <v>35.990400000000001</v>
      </c>
      <c r="AH204" s="183">
        <v>163</v>
      </c>
      <c r="AI204" s="183">
        <v>276</v>
      </c>
      <c r="AJ204" s="183">
        <v>800</v>
      </c>
      <c r="AK204" s="183">
        <v>650</v>
      </c>
      <c r="AL204" s="184">
        <f t="shared" si="64"/>
        <v>143.52000000000001</v>
      </c>
      <c r="AM204" s="184">
        <f t="shared" si="65"/>
        <v>85.517109600000012</v>
      </c>
      <c r="AN204" s="151">
        <f t="shared" si="66"/>
        <v>179400</v>
      </c>
      <c r="AO204" s="151">
        <f t="shared" si="67"/>
        <v>44988</v>
      </c>
      <c r="AP204" s="152">
        <f t="shared" si="68"/>
        <v>0.65</v>
      </c>
      <c r="AQ204" s="153">
        <f t="shared" si="69"/>
        <v>2.592024539877301</v>
      </c>
      <c r="AR204" s="185" t="s">
        <v>783</v>
      </c>
    </row>
    <row r="205" spans="1:123" s="120" customFormat="1">
      <c r="A205" s="247" t="s">
        <v>466</v>
      </c>
      <c r="B205" s="103" t="s">
        <v>266</v>
      </c>
      <c r="C205" s="104" t="s">
        <v>376</v>
      </c>
      <c r="D205" s="33">
        <v>1</v>
      </c>
      <c r="E205" s="34" t="s">
        <v>740</v>
      </c>
      <c r="F205" s="35"/>
      <c r="G205" s="36">
        <v>2286</v>
      </c>
      <c r="H205" s="35"/>
      <c r="I205" s="35"/>
      <c r="J205" s="37">
        <v>253</v>
      </c>
      <c r="K205" s="105" t="s">
        <v>103</v>
      </c>
      <c r="L205" s="105" t="s">
        <v>124</v>
      </c>
      <c r="M205" s="106" t="s">
        <v>583</v>
      </c>
      <c r="N205" s="154" t="s">
        <v>48</v>
      </c>
      <c r="O205" s="105" t="s">
        <v>760</v>
      </c>
      <c r="P205" s="107">
        <v>0</v>
      </c>
      <c r="Q205" s="108" t="s">
        <v>25</v>
      </c>
      <c r="R205" s="108" t="s">
        <v>26</v>
      </c>
      <c r="S205" s="106">
        <v>2033</v>
      </c>
      <c r="T205" s="109">
        <v>48760</v>
      </c>
      <c r="U205" s="110">
        <v>0.45</v>
      </c>
      <c r="V205" s="110">
        <v>0.5</v>
      </c>
      <c r="W205" s="111">
        <f t="shared" si="63"/>
        <v>0.95</v>
      </c>
      <c r="X205" s="110">
        <v>0.05</v>
      </c>
      <c r="Y205" s="110">
        <v>9.0000000000000011E-2</v>
      </c>
      <c r="Z205" s="110">
        <v>6.8000000000000005E-2</v>
      </c>
      <c r="AA205" s="112">
        <v>0.19800000000000001</v>
      </c>
      <c r="AB205" s="110">
        <v>5.0000000000000044E-2</v>
      </c>
      <c r="AC205" s="113">
        <f t="shared" si="70"/>
        <v>308574.72199999995</v>
      </c>
      <c r="AD205" s="109"/>
      <c r="AE205" s="114">
        <f t="shared" si="60"/>
        <v>0</v>
      </c>
      <c r="AF205" s="112">
        <f t="shared" si="61"/>
        <v>0</v>
      </c>
      <c r="AG205" s="115">
        <f t="shared" si="62"/>
        <v>50.297679685999995</v>
      </c>
      <c r="AH205" s="114">
        <v>163</v>
      </c>
      <c r="AI205" s="114">
        <v>299.00651356589145</v>
      </c>
      <c r="AJ205" s="114">
        <v>1032</v>
      </c>
      <c r="AK205" s="114">
        <v>732</v>
      </c>
      <c r="AL205" s="115">
        <f t="shared" si="64"/>
        <v>225.87669650399997</v>
      </c>
      <c r="AM205" s="115">
        <f t="shared" si="65"/>
        <v>101.64451342679999</v>
      </c>
      <c r="AN205" s="116">
        <f t="shared" si="66"/>
        <v>218872.76793023254</v>
      </c>
      <c r="AO205" s="116">
        <f t="shared" si="67"/>
        <v>48738.061711240305</v>
      </c>
      <c r="AP205" s="117">
        <f t="shared" si="68"/>
        <v>0.5</v>
      </c>
      <c r="AQ205" s="118">
        <f t="shared" si="69"/>
        <v>2.2453987730061349</v>
      </c>
      <c r="AR205" s="119" t="s">
        <v>783</v>
      </c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</row>
    <row r="206" spans="1:123">
      <c r="A206" s="248" t="s">
        <v>483</v>
      </c>
      <c r="B206" s="19" t="s">
        <v>667</v>
      </c>
      <c r="C206" s="21" t="s">
        <v>362</v>
      </c>
      <c r="D206" s="22">
        <v>1</v>
      </c>
      <c r="E206" s="23" t="s">
        <v>740</v>
      </c>
      <c r="F206" s="17"/>
      <c r="G206" s="24">
        <v>2381</v>
      </c>
      <c r="H206" s="17"/>
      <c r="I206" s="17"/>
      <c r="J206" s="25">
        <v>283</v>
      </c>
      <c r="K206" s="176" t="s">
        <v>143</v>
      </c>
      <c r="L206" s="176" t="s">
        <v>146</v>
      </c>
      <c r="M206" s="177" t="s">
        <v>575</v>
      </c>
      <c r="N206" s="190" t="s">
        <v>824</v>
      </c>
      <c r="O206" s="176" t="s">
        <v>760</v>
      </c>
      <c r="P206" s="149">
        <v>0</v>
      </c>
      <c r="Q206" s="178" t="s">
        <v>73</v>
      </c>
      <c r="R206" s="178" t="s">
        <v>759</v>
      </c>
      <c r="S206" s="177">
        <v>2029</v>
      </c>
      <c r="T206" s="179">
        <v>47483</v>
      </c>
      <c r="U206" s="180">
        <v>0.43409999999999999</v>
      </c>
      <c r="V206" s="180">
        <v>0.45740000000000003</v>
      </c>
      <c r="W206" s="181">
        <f t="shared" si="63"/>
        <v>0.89149999999999996</v>
      </c>
      <c r="X206" s="180">
        <v>7.0000000000000007E-2</v>
      </c>
      <c r="Y206" s="180">
        <v>0.06</v>
      </c>
      <c r="Z206" s="180">
        <v>6.8000000000000005E-2</v>
      </c>
      <c r="AA206" s="182">
        <v>0.19800000000000001</v>
      </c>
      <c r="AB206" s="180">
        <v>0.10850000000000004</v>
      </c>
      <c r="AC206" s="113">
        <f t="shared" si="70"/>
        <v>132000</v>
      </c>
      <c r="AD206" s="179"/>
      <c r="AE206" s="183">
        <f t="shared" si="60"/>
        <v>0</v>
      </c>
      <c r="AF206" s="182">
        <f t="shared" si="61"/>
        <v>0</v>
      </c>
      <c r="AG206" s="184">
        <f t="shared" si="62"/>
        <v>39.6</v>
      </c>
      <c r="AH206" s="183">
        <v>300</v>
      </c>
      <c r="AI206" s="183">
        <v>184.87394957983193</v>
      </c>
      <c r="AJ206" s="183">
        <v>714</v>
      </c>
      <c r="AK206" s="183">
        <v>1200</v>
      </c>
      <c r="AL206" s="184">
        <f t="shared" si="64"/>
        <v>158.4</v>
      </c>
      <c r="AM206" s="184">
        <f t="shared" si="65"/>
        <v>68.761439999999993</v>
      </c>
      <c r="AN206" s="151">
        <f t="shared" si="66"/>
        <v>221848.73949579831</v>
      </c>
      <c r="AO206" s="151">
        <f t="shared" si="67"/>
        <v>55462.184873949576</v>
      </c>
      <c r="AP206" s="152">
        <f t="shared" si="68"/>
        <v>0.54259999999999997</v>
      </c>
      <c r="AQ206" s="153">
        <f t="shared" si="69"/>
        <v>2.1703999999999999</v>
      </c>
      <c r="AR206" s="185" t="s">
        <v>783</v>
      </c>
    </row>
    <row r="207" spans="1:123" s="120" customFormat="1">
      <c r="A207" s="247" t="s">
        <v>484</v>
      </c>
      <c r="B207" s="103" t="s">
        <v>673</v>
      </c>
      <c r="C207" s="104" t="s">
        <v>361</v>
      </c>
      <c r="D207" s="33">
        <v>1</v>
      </c>
      <c r="E207" s="34" t="s">
        <v>740</v>
      </c>
      <c r="F207" s="35"/>
      <c r="G207" s="36">
        <v>2381</v>
      </c>
      <c r="H207" s="35"/>
      <c r="I207" s="35"/>
      <c r="J207" s="37">
        <v>291</v>
      </c>
      <c r="K207" s="105" t="s">
        <v>143</v>
      </c>
      <c r="L207" s="105" t="s">
        <v>146</v>
      </c>
      <c r="M207" s="106" t="s">
        <v>575</v>
      </c>
      <c r="N207" s="154" t="s">
        <v>619</v>
      </c>
      <c r="O207" s="105" t="s">
        <v>760</v>
      </c>
      <c r="P207" s="107">
        <v>0</v>
      </c>
      <c r="Q207" s="108" t="s">
        <v>25</v>
      </c>
      <c r="R207" s="108" t="s">
        <v>759</v>
      </c>
      <c r="S207" s="106" t="s">
        <v>846</v>
      </c>
      <c r="T207" s="109">
        <v>46752</v>
      </c>
      <c r="U207" s="110">
        <v>0.32800000000000001</v>
      </c>
      <c r="V207" s="110">
        <v>0.18</v>
      </c>
      <c r="W207" s="111">
        <f t="shared" si="63"/>
        <v>0.50800000000000001</v>
      </c>
      <c r="X207" s="110">
        <v>7.0000000000000007E-2</v>
      </c>
      <c r="Y207" s="110">
        <v>7.0000000000000007E-2</v>
      </c>
      <c r="Z207" s="110">
        <v>6.8000000000000005E-2</v>
      </c>
      <c r="AA207" s="112">
        <v>0.19800000000000001</v>
      </c>
      <c r="AB207" s="110">
        <v>0.49199999999999999</v>
      </c>
      <c r="AC207" s="113">
        <f t="shared" si="70"/>
        <v>156640</v>
      </c>
      <c r="AD207" s="109"/>
      <c r="AE207" s="114">
        <f t="shared" si="60"/>
        <v>0</v>
      </c>
      <c r="AF207" s="112">
        <f t="shared" si="61"/>
        <v>0</v>
      </c>
      <c r="AG207" s="115">
        <f t="shared" si="62"/>
        <v>27.411999999999999</v>
      </c>
      <c r="AH207" s="114">
        <v>175</v>
      </c>
      <c r="AI207" s="114">
        <v>160</v>
      </c>
      <c r="AJ207" s="114">
        <v>979</v>
      </c>
      <c r="AK207" s="114">
        <v>1300</v>
      </c>
      <c r="AL207" s="115">
        <f t="shared" si="64"/>
        <v>203.63200000000001</v>
      </c>
      <c r="AM207" s="115">
        <f t="shared" si="65"/>
        <v>66.791296000000003</v>
      </c>
      <c r="AN207" s="116">
        <f t="shared" si="66"/>
        <v>208000</v>
      </c>
      <c r="AO207" s="116">
        <f t="shared" si="67"/>
        <v>28000</v>
      </c>
      <c r="AP207" s="117">
        <f t="shared" si="68"/>
        <v>0.82000000000000006</v>
      </c>
      <c r="AQ207" s="118">
        <f t="shared" si="69"/>
        <v>6.0914285714285725</v>
      </c>
      <c r="AR207" s="119" t="s">
        <v>783</v>
      </c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</row>
    <row r="208" spans="1:123">
      <c r="A208" s="248" t="s">
        <v>493</v>
      </c>
      <c r="B208" s="19" t="s">
        <v>687</v>
      </c>
      <c r="C208" s="21" t="s">
        <v>352</v>
      </c>
      <c r="D208" s="22">
        <v>1</v>
      </c>
      <c r="E208" s="23" t="s">
        <v>740</v>
      </c>
      <c r="F208" s="17"/>
      <c r="G208" s="24">
        <v>2373</v>
      </c>
      <c r="H208" s="17"/>
      <c r="I208" s="17"/>
      <c r="J208" s="25">
        <v>308</v>
      </c>
      <c r="K208" s="176" t="s">
        <v>143</v>
      </c>
      <c r="L208" s="176" t="s">
        <v>150</v>
      </c>
      <c r="M208" s="177" t="s">
        <v>575</v>
      </c>
      <c r="N208" s="190" t="s">
        <v>606</v>
      </c>
      <c r="O208" s="176" t="s">
        <v>760</v>
      </c>
      <c r="P208" s="149">
        <v>0</v>
      </c>
      <c r="Q208" s="178" t="s">
        <v>25</v>
      </c>
      <c r="R208" s="178" t="s">
        <v>26</v>
      </c>
      <c r="S208" s="177">
        <v>2030</v>
      </c>
      <c r="T208" s="179">
        <v>47664</v>
      </c>
      <c r="U208" s="180">
        <v>0.59179999999999999</v>
      </c>
      <c r="V208" s="180">
        <v>0.26029999999999998</v>
      </c>
      <c r="W208" s="181">
        <f t="shared" si="63"/>
        <v>0.85209999999999997</v>
      </c>
      <c r="X208" s="180">
        <v>7.0000000000000007E-2</v>
      </c>
      <c r="Y208" s="180">
        <v>9.5000000000000001E-2</v>
      </c>
      <c r="Z208" s="180">
        <v>6.8000000000000005E-2</v>
      </c>
      <c r="AA208" s="182">
        <v>0.19800000000000001</v>
      </c>
      <c r="AB208" s="180">
        <v>0.14790000000000003</v>
      </c>
      <c r="AC208" s="113">
        <f t="shared" si="70"/>
        <v>375000</v>
      </c>
      <c r="AD208" s="179"/>
      <c r="AE208" s="183">
        <f t="shared" si="60"/>
        <v>0</v>
      </c>
      <c r="AF208" s="182">
        <f t="shared" si="61"/>
        <v>0</v>
      </c>
      <c r="AG208" s="184">
        <f t="shared" si="62"/>
        <v>65.625</v>
      </c>
      <c r="AH208" s="183">
        <v>175</v>
      </c>
      <c r="AI208" s="183">
        <v>400</v>
      </c>
      <c r="AJ208" s="183">
        <v>937.5</v>
      </c>
      <c r="AK208" s="183">
        <v>800</v>
      </c>
      <c r="AL208" s="184">
        <f t="shared" si="64"/>
        <v>300</v>
      </c>
      <c r="AM208" s="184">
        <f t="shared" si="65"/>
        <v>177.54</v>
      </c>
      <c r="AN208" s="151">
        <f t="shared" si="66"/>
        <v>320000</v>
      </c>
      <c r="AO208" s="151">
        <f t="shared" si="67"/>
        <v>70000</v>
      </c>
      <c r="AP208" s="152">
        <f t="shared" si="68"/>
        <v>0.73970000000000002</v>
      </c>
      <c r="AQ208" s="153">
        <f t="shared" si="69"/>
        <v>3.3814857142857142</v>
      </c>
      <c r="AR208" s="185" t="s">
        <v>783</v>
      </c>
    </row>
    <row r="209" spans="1:123" s="120" customFormat="1" ht="13">
      <c r="A209" s="252" t="s">
        <v>461</v>
      </c>
      <c r="B209" s="154" t="s">
        <v>122</v>
      </c>
      <c r="D209" s="131" t="s">
        <v>705</v>
      </c>
      <c r="E209" s="134" t="s">
        <v>740</v>
      </c>
      <c r="G209" s="131"/>
      <c r="K209" s="105" t="s">
        <v>103</v>
      </c>
      <c r="L209" s="105" t="s">
        <v>119</v>
      </c>
      <c r="M209" s="106" t="s">
        <v>574</v>
      </c>
      <c r="N209" s="154" t="s">
        <v>122</v>
      </c>
      <c r="O209" s="105" t="s">
        <v>760</v>
      </c>
      <c r="P209" s="107">
        <v>0</v>
      </c>
      <c r="Q209" s="108" t="s">
        <v>25</v>
      </c>
      <c r="R209" s="108" t="s">
        <v>759</v>
      </c>
      <c r="S209" s="106">
        <v>2030</v>
      </c>
      <c r="T209" s="109">
        <v>47664</v>
      </c>
      <c r="U209" s="110">
        <v>0.6875</v>
      </c>
      <c r="V209" s="110">
        <v>0.25</v>
      </c>
      <c r="W209" s="111">
        <f t="shared" si="63"/>
        <v>0.9375</v>
      </c>
      <c r="X209" s="110">
        <v>0.05</v>
      </c>
      <c r="Y209" s="110">
        <v>0</v>
      </c>
      <c r="Z209" s="110">
        <v>6.8000000000000005E-2</v>
      </c>
      <c r="AA209" s="112">
        <v>0.19800000000000001</v>
      </c>
      <c r="AB209" s="110">
        <v>6.25E-2</v>
      </c>
      <c r="AC209" s="113">
        <f t="shared" si="70"/>
        <v>241875</v>
      </c>
      <c r="AD209" s="109"/>
      <c r="AE209" s="114">
        <f t="shared" si="60"/>
        <v>0</v>
      </c>
      <c r="AF209" s="112">
        <f t="shared" si="61"/>
        <v>0</v>
      </c>
      <c r="AG209" s="115">
        <f t="shared" si="62"/>
        <v>39.425624999999997</v>
      </c>
      <c r="AH209" s="114">
        <v>163</v>
      </c>
      <c r="AI209" s="114">
        <v>249.87086776859505</v>
      </c>
      <c r="AJ209" s="114">
        <v>968</v>
      </c>
      <c r="AK209" s="114">
        <v>800</v>
      </c>
      <c r="AL209" s="115">
        <f t="shared" si="64"/>
        <v>193.5</v>
      </c>
      <c r="AM209" s="115">
        <f t="shared" si="65"/>
        <v>133.03125</v>
      </c>
      <c r="AN209" s="116">
        <f t="shared" si="66"/>
        <v>199896.69421487604</v>
      </c>
      <c r="AO209" s="116">
        <f t="shared" si="67"/>
        <v>40728.951446280989</v>
      </c>
      <c r="AP209" s="117">
        <f t="shared" si="68"/>
        <v>0.75</v>
      </c>
      <c r="AQ209" s="118">
        <f t="shared" si="69"/>
        <v>3.680981595092025</v>
      </c>
      <c r="AR209" s="119" t="s">
        <v>783</v>
      </c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</row>
    <row r="210" spans="1:123">
      <c r="A210" s="250" t="s">
        <v>523</v>
      </c>
      <c r="B210" s="156" t="s">
        <v>311</v>
      </c>
      <c r="C210" s="157" t="s">
        <v>332</v>
      </c>
      <c r="D210" s="158">
        <v>1</v>
      </c>
      <c r="E210" s="159" t="s">
        <v>740</v>
      </c>
      <c r="F210" s="160"/>
      <c r="G210" s="161">
        <v>2770</v>
      </c>
      <c r="H210" s="160"/>
      <c r="I210" s="160"/>
      <c r="J210" s="162">
        <v>358</v>
      </c>
      <c r="K210" s="163" t="s">
        <v>548</v>
      </c>
      <c r="L210" s="163" t="s">
        <v>182</v>
      </c>
      <c r="M210" s="162" t="s">
        <v>579</v>
      </c>
      <c r="N210" s="192" t="s">
        <v>183</v>
      </c>
      <c r="O210" s="163" t="s">
        <v>760</v>
      </c>
      <c r="P210" s="164">
        <v>0</v>
      </c>
      <c r="Q210" s="165" t="s">
        <v>25</v>
      </c>
      <c r="R210" s="165" t="s">
        <v>26</v>
      </c>
      <c r="S210" s="162">
        <v>2030</v>
      </c>
      <c r="T210" s="166">
        <v>47848</v>
      </c>
      <c r="U210" s="167">
        <v>0.8</v>
      </c>
      <c r="V210" s="167"/>
      <c r="W210" s="168">
        <f t="shared" si="63"/>
        <v>0.8</v>
      </c>
      <c r="X210" s="167"/>
      <c r="Y210" s="167"/>
      <c r="Z210" s="167"/>
      <c r="AA210" s="169">
        <v>0.19800000000000001</v>
      </c>
      <c r="AB210" s="167">
        <v>0.19999999999999996</v>
      </c>
      <c r="AC210" s="113">
        <f t="shared" si="70"/>
        <v>148413.47031963471</v>
      </c>
      <c r="AD210" s="166"/>
      <c r="AE210" s="160">
        <f t="shared" si="60"/>
        <v>0</v>
      </c>
      <c r="AF210" s="169">
        <f t="shared" si="61"/>
        <v>0</v>
      </c>
      <c r="AG210" s="171">
        <f t="shared" si="62"/>
        <v>21.965193607305938</v>
      </c>
      <c r="AH210" s="160">
        <v>148</v>
      </c>
      <c r="AI210" s="160">
        <v>296.82694063926942</v>
      </c>
      <c r="AJ210" s="160">
        <v>500</v>
      </c>
      <c r="AK210" s="160">
        <v>500</v>
      </c>
      <c r="AL210" s="171">
        <f t="shared" si="64"/>
        <v>74.206735159817356</v>
      </c>
      <c r="AM210" s="171">
        <f t="shared" si="65"/>
        <v>59.36538812785389</v>
      </c>
      <c r="AN210" s="172">
        <f t="shared" si="66"/>
        <v>148413.47031963471</v>
      </c>
      <c r="AO210" s="172">
        <f t="shared" si="67"/>
        <v>43930.387214611874</v>
      </c>
      <c r="AP210" s="173">
        <f t="shared" si="68"/>
        <v>1</v>
      </c>
      <c r="AQ210" s="243">
        <f t="shared" si="69"/>
        <v>3.3783783783783781</v>
      </c>
      <c r="AR210" s="185" t="s">
        <v>783</v>
      </c>
    </row>
    <row r="211" spans="1:123" s="120" customFormat="1">
      <c r="A211" s="249" t="s">
        <v>426</v>
      </c>
      <c r="B211" s="196" t="s">
        <v>198</v>
      </c>
      <c r="C211" s="197" t="s">
        <v>324</v>
      </c>
      <c r="D211" s="198">
        <v>1</v>
      </c>
      <c r="E211" s="199" t="s">
        <v>740</v>
      </c>
      <c r="F211" s="200"/>
      <c r="G211" s="201">
        <v>2123</v>
      </c>
      <c r="H211" s="200"/>
      <c r="I211" s="200"/>
      <c r="J211" s="202">
        <v>154</v>
      </c>
      <c r="K211" s="203" t="s">
        <v>22</v>
      </c>
      <c r="L211" s="203" t="s">
        <v>44</v>
      </c>
      <c r="M211" s="202" t="s">
        <v>567</v>
      </c>
      <c r="N211" s="233" t="s">
        <v>46</v>
      </c>
      <c r="O211" s="203" t="s">
        <v>756</v>
      </c>
      <c r="P211" s="204">
        <v>114285.71</v>
      </c>
      <c r="Q211" s="205" t="s">
        <v>25</v>
      </c>
      <c r="R211" s="205" t="s">
        <v>759</v>
      </c>
      <c r="S211" s="202">
        <v>2030</v>
      </c>
      <c r="T211" s="206">
        <v>47848</v>
      </c>
      <c r="U211" s="207">
        <v>1</v>
      </c>
      <c r="V211" s="207"/>
      <c r="W211" s="208">
        <f t="shared" si="63"/>
        <v>1</v>
      </c>
      <c r="X211" s="207"/>
      <c r="Y211" s="207"/>
      <c r="Z211" s="207"/>
      <c r="AA211" s="209">
        <v>0.19800000000000001</v>
      </c>
      <c r="AB211" s="207"/>
      <c r="AC211" s="113">
        <f t="shared" si="70"/>
        <v>105000</v>
      </c>
      <c r="AD211" s="206"/>
      <c r="AE211" s="200">
        <f t="shared" si="60"/>
        <v>0.11428571000000001</v>
      </c>
      <c r="AF211" s="209">
        <f t="shared" si="61"/>
        <v>2.7908598290598292E-3</v>
      </c>
      <c r="AG211" s="210">
        <f t="shared" si="62"/>
        <v>13.9755</v>
      </c>
      <c r="AH211" s="200">
        <v>133.1</v>
      </c>
      <c r="AI211" s="200">
        <v>210</v>
      </c>
      <c r="AJ211" s="200">
        <v>500</v>
      </c>
      <c r="AK211" s="200">
        <v>390</v>
      </c>
      <c r="AL211" s="210">
        <f t="shared" si="64"/>
        <v>40.950000000000003</v>
      </c>
      <c r="AM211" s="210">
        <f t="shared" si="65"/>
        <v>40.950000000000003</v>
      </c>
      <c r="AN211" s="211">
        <f t="shared" si="66"/>
        <v>81900</v>
      </c>
      <c r="AO211" s="211">
        <f t="shared" si="67"/>
        <v>27951</v>
      </c>
      <c r="AP211" s="212">
        <f t="shared" si="68"/>
        <v>1</v>
      </c>
      <c r="AQ211" s="244">
        <f t="shared" si="69"/>
        <v>2.9063607383990511</v>
      </c>
      <c r="AR211" s="119" t="s">
        <v>783</v>
      </c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</row>
    <row r="212" spans="1:123">
      <c r="A212" s="250" t="s">
        <v>514</v>
      </c>
      <c r="B212" s="156" t="s">
        <v>300</v>
      </c>
      <c r="C212" s="157" t="s">
        <v>340</v>
      </c>
      <c r="D212" s="158">
        <v>1</v>
      </c>
      <c r="E212" s="159" t="s">
        <v>740</v>
      </c>
      <c r="F212" s="160"/>
      <c r="G212" s="161">
        <v>1930</v>
      </c>
      <c r="H212" s="160"/>
      <c r="I212" s="160"/>
      <c r="J212" s="162">
        <v>346</v>
      </c>
      <c r="K212" s="163" t="s">
        <v>159</v>
      </c>
      <c r="L212" s="163" t="s">
        <v>716</v>
      </c>
      <c r="M212" s="162" t="s">
        <v>577</v>
      </c>
      <c r="N212" s="192" t="s">
        <v>811</v>
      </c>
      <c r="O212" s="163" t="s">
        <v>760</v>
      </c>
      <c r="P212" s="164">
        <v>0</v>
      </c>
      <c r="Q212" s="165" t="s">
        <v>73</v>
      </c>
      <c r="R212" s="165" t="s">
        <v>26</v>
      </c>
      <c r="S212" s="162">
        <v>2030</v>
      </c>
      <c r="T212" s="166">
        <v>47664</v>
      </c>
      <c r="U212" s="167">
        <v>0.7</v>
      </c>
      <c r="V212" s="167">
        <v>0.30000000000000004</v>
      </c>
      <c r="W212" s="168">
        <f t="shared" si="63"/>
        <v>1</v>
      </c>
      <c r="X212" s="167">
        <v>0.05</v>
      </c>
      <c r="Y212" s="167">
        <v>9.0000000000000011E-2</v>
      </c>
      <c r="Z212" s="167">
        <v>6.8000000000000005E-2</v>
      </c>
      <c r="AA212" s="169">
        <v>0.19800000000000001</v>
      </c>
      <c r="AB212" s="167"/>
      <c r="AC212" s="113">
        <f t="shared" si="70"/>
        <v>139700</v>
      </c>
      <c r="AD212" s="166"/>
      <c r="AE212" s="160">
        <f t="shared" si="60"/>
        <v>0</v>
      </c>
      <c r="AF212" s="169">
        <f t="shared" si="61"/>
        <v>0</v>
      </c>
      <c r="AG212" s="171">
        <f t="shared" si="62"/>
        <v>36.322000000000003</v>
      </c>
      <c r="AH212" s="160">
        <v>260</v>
      </c>
      <c r="AI212" s="160">
        <v>220</v>
      </c>
      <c r="AJ212" s="160">
        <v>635</v>
      </c>
      <c r="AK212" s="160">
        <v>1200</v>
      </c>
      <c r="AL212" s="171">
        <f t="shared" si="64"/>
        <v>167.64</v>
      </c>
      <c r="AM212" s="171">
        <f t="shared" si="65"/>
        <v>117.34799999999998</v>
      </c>
      <c r="AN212" s="172">
        <f t="shared" si="66"/>
        <v>264000</v>
      </c>
      <c r="AO212" s="172">
        <f t="shared" si="67"/>
        <v>57200</v>
      </c>
      <c r="AP212" s="173">
        <f t="shared" si="68"/>
        <v>0.7</v>
      </c>
      <c r="AQ212" s="243">
        <f t="shared" si="69"/>
        <v>3.2307692307692299</v>
      </c>
      <c r="AR212" s="185" t="s">
        <v>783</v>
      </c>
    </row>
    <row r="213" spans="1:123" s="120" customFormat="1">
      <c r="A213" s="256" t="s">
        <v>812</v>
      </c>
      <c r="B213" s="196" t="s">
        <v>813</v>
      </c>
      <c r="C213" s="196"/>
      <c r="D213" s="198">
        <v>1</v>
      </c>
      <c r="E213" s="199" t="s">
        <v>740</v>
      </c>
      <c r="F213" s="200"/>
      <c r="G213" s="201">
        <v>2101</v>
      </c>
      <c r="H213" s="200"/>
      <c r="I213" s="200"/>
      <c r="J213" s="202"/>
      <c r="K213" s="203" t="s">
        <v>159</v>
      </c>
      <c r="L213" s="203" t="s">
        <v>716</v>
      </c>
      <c r="M213" s="202" t="s">
        <v>577</v>
      </c>
      <c r="N213" s="233" t="s">
        <v>815</v>
      </c>
      <c r="O213" s="203" t="s">
        <v>760</v>
      </c>
      <c r="P213" s="204">
        <v>0</v>
      </c>
      <c r="Q213" s="205" t="s">
        <v>73</v>
      </c>
      <c r="R213" s="205" t="s">
        <v>26</v>
      </c>
      <c r="S213" s="202" t="s">
        <v>814</v>
      </c>
      <c r="T213" s="206" t="s">
        <v>26</v>
      </c>
      <c r="U213" s="207">
        <v>0.7</v>
      </c>
      <c r="V213" s="207">
        <v>0.3</v>
      </c>
      <c r="W213" s="208">
        <f t="shared" si="63"/>
        <v>1</v>
      </c>
      <c r="X213" s="207"/>
      <c r="Y213" s="207"/>
      <c r="Z213" s="207"/>
      <c r="AA213" s="209">
        <v>0.19800000000000001</v>
      </c>
      <c r="AB213" s="207"/>
      <c r="AC213" s="113">
        <f t="shared" si="70"/>
        <v>139700</v>
      </c>
      <c r="AD213" s="206"/>
      <c r="AE213" s="200">
        <f t="shared" si="60"/>
        <v>0</v>
      </c>
      <c r="AF213" s="209">
        <f t="shared" si="61"/>
        <v>0</v>
      </c>
      <c r="AG213" s="210">
        <f t="shared" si="62"/>
        <v>41.91</v>
      </c>
      <c r="AH213" s="200">
        <v>300</v>
      </c>
      <c r="AI213" s="200">
        <v>220</v>
      </c>
      <c r="AJ213" s="200">
        <v>635</v>
      </c>
      <c r="AK213" s="200">
        <v>1500</v>
      </c>
      <c r="AL213" s="210">
        <f t="shared" si="64"/>
        <v>209.55</v>
      </c>
      <c r="AM213" s="210">
        <f t="shared" si="65"/>
        <v>146.685</v>
      </c>
      <c r="AN213" s="211">
        <f t="shared" si="66"/>
        <v>330000</v>
      </c>
      <c r="AO213" s="211">
        <f t="shared" si="67"/>
        <v>66000</v>
      </c>
      <c r="AP213" s="212">
        <f t="shared" si="68"/>
        <v>0.7</v>
      </c>
      <c r="AQ213" s="244">
        <f t="shared" si="69"/>
        <v>3.5000000000000004</v>
      </c>
      <c r="AR213" s="119" t="s">
        <v>783</v>
      </c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</row>
    <row r="214" spans="1:123">
      <c r="A214" s="250" t="s">
        <v>478</v>
      </c>
      <c r="B214" s="156" t="s">
        <v>280</v>
      </c>
      <c r="C214" s="157" t="s">
        <v>365</v>
      </c>
      <c r="D214" s="158">
        <v>1</v>
      </c>
      <c r="E214" s="159" t="s">
        <v>739</v>
      </c>
      <c r="F214" s="160"/>
      <c r="G214" s="161">
        <v>2395</v>
      </c>
      <c r="H214" s="160"/>
      <c r="I214" s="160"/>
      <c r="J214" s="162">
        <v>269</v>
      </c>
      <c r="K214" s="163" t="s">
        <v>103</v>
      </c>
      <c r="L214" s="163" t="s">
        <v>142</v>
      </c>
      <c r="M214" s="162" t="s">
        <v>574</v>
      </c>
      <c r="N214" s="192" t="s">
        <v>24</v>
      </c>
      <c r="O214" s="163" t="s">
        <v>760</v>
      </c>
      <c r="P214" s="164">
        <v>0</v>
      </c>
      <c r="Q214" s="165" t="s">
        <v>25</v>
      </c>
      <c r="R214" s="165" t="s">
        <v>26</v>
      </c>
      <c r="S214" s="162">
        <v>2029</v>
      </c>
      <c r="T214" s="166">
        <v>47391</v>
      </c>
      <c r="U214" s="167">
        <v>0.7</v>
      </c>
      <c r="V214" s="167">
        <v>0.30000000000000004</v>
      </c>
      <c r="W214" s="168">
        <f t="shared" si="63"/>
        <v>1</v>
      </c>
      <c r="X214" s="167">
        <v>0.05</v>
      </c>
      <c r="Y214" s="167">
        <v>0</v>
      </c>
      <c r="Z214" s="167">
        <v>6.8000000000000005E-2</v>
      </c>
      <c r="AA214" s="169">
        <v>0.19800000000000001</v>
      </c>
      <c r="AB214" s="167"/>
      <c r="AC214" s="113">
        <f t="shared" si="70"/>
        <v>161600</v>
      </c>
      <c r="AD214" s="166"/>
      <c r="AE214" s="160">
        <f t="shared" si="60"/>
        <v>0</v>
      </c>
      <c r="AF214" s="169">
        <f t="shared" si="61"/>
        <v>0</v>
      </c>
      <c r="AG214" s="171">
        <f t="shared" si="62"/>
        <v>26.340800000000002</v>
      </c>
      <c r="AH214" s="160">
        <v>163</v>
      </c>
      <c r="AI214" s="160">
        <v>200</v>
      </c>
      <c r="AJ214" s="160">
        <v>808</v>
      </c>
      <c r="AK214" s="160">
        <v>800</v>
      </c>
      <c r="AL214" s="171">
        <f t="shared" si="64"/>
        <v>129.28</v>
      </c>
      <c r="AM214" s="171">
        <f t="shared" si="65"/>
        <v>90.495999999999995</v>
      </c>
      <c r="AN214" s="172">
        <f t="shared" si="66"/>
        <v>160000</v>
      </c>
      <c r="AO214" s="172">
        <f t="shared" si="67"/>
        <v>32600</v>
      </c>
      <c r="AP214" s="173">
        <f t="shared" si="68"/>
        <v>0.7</v>
      </c>
      <c r="AQ214" s="243">
        <f t="shared" si="69"/>
        <v>3.4355828220858893</v>
      </c>
      <c r="AR214" s="185" t="s">
        <v>783</v>
      </c>
    </row>
    <row r="215" spans="1:123" s="120" customFormat="1">
      <c r="A215" s="249" t="s">
        <v>478</v>
      </c>
      <c r="B215" s="196" t="s">
        <v>280</v>
      </c>
      <c r="C215" s="197" t="s">
        <v>365</v>
      </c>
      <c r="D215" s="198">
        <v>1</v>
      </c>
      <c r="E215" s="199" t="s">
        <v>739</v>
      </c>
      <c r="F215" s="200"/>
      <c r="G215" s="201">
        <v>2395</v>
      </c>
      <c r="H215" s="200"/>
      <c r="I215" s="200"/>
      <c r="J215" s="202">
        <v>270</v>
      </c>
      <c r="K215" s="203" t="s">
        <v>103</v>
      </c>
      <c r="L215" s="203" t="s">
        <v>142</v>
      </c>
      <c r="M215" s="202" t="s">
        <v>574</v>
      </c>
      <c r="N215" s="233" t="s">
        <v>24</v>
      </c>
      <c r="O215" s="203" t="s">
        <v>760</v>
      </c>
      <c r="P215" s="204">
        <v>0</v>
      </c>
      <c r="Q215" s="205" t="s">
        <v>25</v>
      </c>
      <c r="R215" s="205" t="s">
        <v>26</v>
      </c>
      <c r="S215" s="202">
        <v>2029</v>
      </c>
      <c r="T215" s="206">
        <v>47391</v>
      </c>
      <c r="U215" s="207">
        <v>0.7</v>
      </c>
      <c r="V215" s="207">
        <v>0.30000000000000004</v>
      </c>
      <c r="W215" s="208">
        <f t="shared" si="63"/>
        <v>1</v>
      </c>
      <c r="X215" s="207">
        <v>0.05</v>
      </c>
      <c r="Y215" s="207">
        <v>0</v>
      </c>
      <c r="Z215" s="207">
        <v>6.8000000000000005E-2</v>
      </c>
      <c r="AA215" s="209">
        <v>0.19800000000000001</v>
      </c>
      <c r="AB215" s="207"/>
      <c r="AC215" s="113">
        <f t="shared" si="70"/>
        <v>161600</v>
      </c>
      <c r="AD215" s="206"/>
      <c r="AE215" s="200">
        <f t="shared" si="60"/>
        <v>0</v>
      </c>
      <c r="AF215" s="209">
        <f t="shared" si="61"/>
        <v>0</v>
      </c>
      <c r="AG215" s="210">
        <f t="shared" si="62"/>
        <v>26.340800000000002</v>
      </c>
      <c r="AH215" s="200">
        <v>163</v>
      </c>
      <c r="AI215" s="200">
        <v>200</v>
      </c>
      <c r="AJ215" s="200">
        <v>808</v>
      </c>
      <c r="AK215" s="200">
        <v>500</v>
      </c>
      <c r="AL215" s="210">
        <f t="shared" si="64"/>
        <v>80.8</v>
      </c>
      <c r="AM215" s="210">
        <f t="shared" si="65"/>
        <v>56.559999999999995</v>
      </c>
      <c r="AN215" s="211">
        <f t="shared" si="66"/>
        <v>100000</v>
      </c>
      <c r="AO215" s="211">
        <f t="shared" si="67"/>
        <v>32600</v>
      </c>
      <c r="AP215" s="212">
        <f t="shared" si="68"/>
        <v>0.7</v>
      </c>
      <c r="AQ215" s="244">
        <f t="shared" si="69"/>
        <v>2.1472392638036806</v>
      </c>
      <c r="AR215" s="119" t="s">
        <v>783</v>
      </c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</row>
    <row r="216" spans="1:123">
      <c r="A216" s="250" t="s">
        <v>478</v>
      </c>
      <c r="B216" s="156" t="s">
        <v>280</v>
      </c>
      <c r="C216" s="157" t="s">
        <v>365</v>
      </c>
      <c r="D216" s="158">
        <v>1</v>
      </c>
      <c r="E216" s="159" t="s">
        <v>739</v>
      </c>
      <c r="F216" s="160"/>
      <c r="G216" s="161">
        <v>2395</v>
      </c>
      <c r="H216" s="160"/>
      <c r="I216" s="160"/>
      <c r="J216" s="162">
        <v>271</v>
      </c>
      <c r="K216" s="163" t="s">
        <v>103</v>
      </c>
      <c r="L216" s="163" t="s">
        <v>142</v>
      </c>
      <c r="M216" s="162" t="s">
        <v>574</v>
      </c>
      <c r="N216" s="192" t="s">
        <v>24</v>
      </c>
      <c r="O216" s="163" t="s">
        <v>760</v>
      </c>
      <c r="P216" s="164">
        <v>0</v>
      </c>
      <c r="Q216" s="165" t="s">
        <v>25</v>
      </c>
      <c r="R216" s="165" t="s">
        <v>26</v>
      </c>
      <c r="S216" s="162">
        <v>2029</v>
      </c>
      <c r="T216" s="166">
        <v>47391</v>
      </c>
      <c r="U216" s="167">
        <v>0.7</v>
      </c>
      <c r="V216" s="167">
        <v>0.30000000000000004</v>
      </c>
      <c r="W216" s="168">
        <f t="shared" si="63"/>
        <v>1</v>
      </c>
      <c r="X216" s="167">
        <v>0.05</v>
      </c>
      <c r="Y216" s="167">
        <v>0</v>
      </c>
      <c r="Z216" s="167">
        <v>6.8000000000000005E-2</v>
      </c>
      <c r="AA216" s="169">
        <v>0.19800000000000001</v>
      </c>
      <c r="AB216" s="167"/>
      <c r="AC216" s="113">
        <f t="shared" si="70"/>
        <v>161400</v>
      </c>
      <c r="AD216" s="166"/>
      <c r="AE216" s="160">
        <f t="shared" si="60"/>
        <v>0</v>
      </c>
      <c r="AF216" s="169">
        <f t="shared" si="61"/>
        <v>0</v>
      </c>
      <c r="AG216" s="171">
        <f t="shared" si="62"/>
        <v>26.308199999999999</v>
      </c>
      <c r="AH216" s="160">
        <v>163</v>
      </c>
      <c r="AI216" s="160">
        <v>200</v>
      </c>
      <c r="AJ216" s="160">
        <v>807</v>
      </c>
      <c r="AK216" s="160">
        <v>800</v>
      </c>
      <c r="AL216" s="171">
        <f t="shared" si="64"/>
        <v>129.12</v>
      </c>
      <c r="AM216" s="171">
        <f t="shared" si="65"/>
        <v>90.384</v>
      </c>
      <c r="AN216" s="172">
        <f t="shared" si="66"/>
        <v>160000</v>
      </c>
      <c r="AO216" s="172">
        <f t="shared" si="67"/>
        <v>32600</v>
      </c>
      <c r="AP216" s="173">
        <f t="shared" si="68"/>
        <v>0.7</v>
      </c>
      <c r="AQ216" s="243">
        <f t="shared" si="69"/>
        <v>3.4355828220858897</v>
      </c>
      <c r="AR216" s="185" t="s">
        <v>783</v>
      </c>
    </row>
    <row r="217" spans="1:123" s="120" customFormat="1">
      <c r="A217" s="249" t="s">
        <v>460</v>
      </c>
      <c r="B217" s="196" t="s">
        <v>261</v>
      </c>
      <c r="C217" s="197" t="s">
        <v>380</v>
      </c>
      <c r="D217" s="198">
        <v>1</v>
      </c>
      <c r="E217" s="199" t="s">
        <v>740</v>
      </c>
      <c r="F217" s="200"/>
      <c r="G217" s="201">
        <v>2287</v>
      </c>
      <c r="H217" s="200"/>
      <c r="I217" s="200"/>
      <c r="J217" s="202">
        <v>235</v>
      </c>
      <c r="K217" s="203" t="s">
        <v>103</v>
      </c>
      <c r="L217" s="203" t="s">
        <v>724</v>
      </c>
      <c r="M217" s="202" t="s">
        <v>574</v>
      </c>
      <c r="N217" s="233" t="s">
        <v>46</v>
      </c>
      <c r="O217" s="203" t="s">
        <v>760</v>
      </c>
      <c r="P217" s="204">
        <v>0</v>
      </c>
      <c r="Q217" s="205" t="s">
        <v>25</v>
      </c>
      <c r="R217" s="205" t="s">
        <v>26</v>
      </c>
      <c r="S217" s="202">
        <v>2029</v>
      </c>
      <c r="T217" s="206">
        <v>47483</v>
      </c>
      <c r="U217" s="207">
        <v>0.46668999999999994</v>
      </c>
      <c r="V217" s="207">
        <v>0.30000000000000004</v>
      </c>
      <c r="W217" s="208">
        <v>0.76668999999999998</v>
      </c>
      <c r="X217" s="207">
        <v>0.05</v>
      </c>
      <c r="Y217" s="207">
        <v>9.0000000000000011E-2</v>
      </c>
      <c r="Z217" s="207">
        <v>6.8000000000000005E-2</v>
      </c>
      <c r="AA217" s="209">
        <v>0.19800000000000001</v>
      </c>
      <c r="AB217" s="207">
        <v>0.23331000000000002</v>
      </c>
      <c r="AC217" s="113">
        <f t="shared" si="70"/>
        <v>171264</v>
      </c>
      <c r="AD217" s="206"/>
      <c r="AE217" s="200">
        <v>0</v>
      </c>
      <c r="AF217" s="209">
        <v>0</v>
      </c>
      <c r="AG217" s="210">
        <v>30.82752</v>
      </c>
      <c r="AH217" s="200">
        <v>180</v>
      </c>
      <c r="AI217" s="200">
        <v>256</v>
      </c>
      <c r="AJ217" s="200">
        <v>669</v>
      </c>
      <c r="AK217" s="200">
        <v>950</v>
      </c>
      <c r="AL217" s="210">
        <v>162.70079999999999</v>
      </c>
      <c r="AM217" s="210">
        <v>75.930836351999986</v>
      </c>
      <c r="AN217" s="211">
        <v>243200</v>
      </c>
      <c r="AO217" s="211">
        <v>46080</v>
      </c>
      <c r="AP217" s="212">
        <v>0.7</v>
      </c>
      <c r="AQ217" s="244">
        <v>3.6944444444444438</v>
      </c>
      <c r="AR217" s="131" t="s">
        <v>783</v>
      </c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</row>
    <row r="218" spans="1:123">
      <c r="A218" s="250" t="s">
        <v>459</v>
      </c>
      <c r="B218" s="156" t="s">
        <v>646</v>
      </c>
      <c r="C218" s="157" t="s">
        <v>380</v>
      </c>
      <c r="D218" s="158">
        <v>1</v>
      </c>
      <c r="E218" s="159" t="s">
        <v>739</v>
      </c>
      <c r="F218" s="160"/>
      <c r="G218" s="161">
        <v>2642</v>
      </c>
      <c r="H218" s="160"/>
      <c r="I218" s="160"/>
      <c r="J218" s="162">
        <v>236</v>
      </c>
      <c r="K218" s="163" t="s">
        <v>103</v>
      </c>
      <c r="L218" s="163" t="s">
        <v>724</v>
      </c>
      <c r="M218" s="162" t="s">
        <v>574</v>
      </c>
      <c r="N218" s="192" t="s">
        <v>24</v>
      </c>
      <c r="O218" s="163" t="s">
        <v>760</v>
      </c>
      <c r="P218" s="164">
        <v>0</v>
      </c>
      <c r="Q218" s="165" t="s">
        <v>25</v>
      </c>
      <c r="R218" s="165" t="s">
        <v>26</v>
      </c>
      <c r="S218" s="162">
        <v>2029</v>
      </c>
      <c r="T218" s="166">
        <v>47483</v>
      </c>
      <c r="U218" s="167">
        <v>0.59585500000000002</v>
      </c>
      <c r="V218" s="167">
        <v>0.35</v>
      </c>
      <c r="W218" s="168">
        <v>0.945855</v>
      </c>
      <c r="X218" s="167">
        <v>0.05</v>
      </c>
      <c r="Y218" s="167">
        <v>9.0000000000000011E-2</v>
      </c>
      <c r="Z218" s="167">
        <v>6.8000000000000005E-2</v>
      </c>
      <c r="AA218" s="169">
        <v>0.19800000000000001</v>
      </c>
      <c r="AB218" s="167">
        <v>5.4144999999999999E-2</v>
      </c>
      <c r="AC218" s="113">
        <f t="shared" si="70"/>
        <v>260596</v>
      </c>
      <c r="AD218" s="166"/>
      <c r="AE218" s="160">
        <v>0</v>
      </c>
      <c r="AF218" s="169">
        <v>0</v>
      </c>
      <c r="AG218" s="171">
        <v>29.949293999999998</v>
      </c>
      <c r="AH218" s="160">
        <v>163</v>
      </c>
      <c r="AI218" s="160">
        <v>227</v>
      </c>
      <c r="AJ218" s="160">
        <v>1148</v>
      </c>
      <c r="AK218" s="160">
        <v>650</v>
      </c>
      <c r="AL218" s="171">
        <v>110.2428</v>
      </c>
      <c r="AM218" s="171">
        <v>65.68872359400001</v>
      </c>
      <c r="AN218" s="172">
        <v>162600</v>
      </c>
      <c r="AO218" s="172">
        <v>44173</v>
      </c>
      <c r="AP218" s="173">
        <v>0.65</v>
      </c>
      <c r="AQ218" s="243">
        <v>2.3926380368098159</v>
      </c>
      <c r="AR218" s="18" t="s">
        <v>783</v>
      </c>
    </row>
    <row r="219" spans="1:123" s="120" customFormat="1">
      <c r="A219" s="253" t="s">
        <v>449</v>
      </c>
      <c r="B219" s="213" t="s">
        <v>247</v>
      </c>
      <c r="C219" s="214" t="s">
        <v>388</v>
      </c>
      <c r="D219" s="215">
        <v>1</v>
      </c>
      <c r="E219" s="216" t="s">
        <v>740</v>
      </c>
      <c r="F219" s="217"/>
      <c r="G219" s="218">
        <v>2288</v>
      </c>
      <c r="H219" s="217"/>
      <c r="I219" s="217"/>
      <c r="J219" s="219">
        <v>214</v>
      </c>
      <c r="K219" s="220" t="s">
        <v>103</v>
      </c>
      <c r="L219" s="220" t="s">
        <v>104</v>
      </c>
      <c r="M219" s="219" t="s">
        <v>572</v>
      </c>
      <c r="N219" s="240" t="s">
        <v>45</v>
      </c>
      <c r="O219" s="220" t="s">
        <v>760</v>
      </c>
      <c r="P219" s="221">
        <v>0</v>
      </c>
      <c r="Q219" s="222" t="s">
        <v>25</v>
      </c>
      <c r="R219" s="222" t="s">
        <v>26</v>
      </c>
      <c r="S219" s="219">
        <v>2029</v>
      </c>
      <c r="T219" s="223">
        <v>47391</v>
      </c>
      <c r="U219" s="224">
        <v>0.45834999999999998</v>
      </c>
      <c r="V219" s="224">
        <v>0.5</v>
      </c>
      <c r="W219" s="225">
        <f t="shared" ref="W219:W228" si="71">SUM(U219:V219)</f>
        <v>0.95835000000000004</v>
      </c>
      <c r="X219" s="224">
        <v>0.05</v>
      </c>
      <c r="Y219" s="224">
        <v>0</v>
      </c>
      <c r="Z219" s="224">
        <v>6.8000000000000005E-2</v>
      </c>
      <c r="AA219" s="226">
        <v>0.19800000000000001</v>
      </c>
      <c r="AB219" s="224">
        <v>4.1649999999999965E-2</v>
      </c>
      <c r="AC219" s="113">
        <f t="shared" si="70"/>
        <v>232564</v>
      </c>
      <c r="AD219" s="223"/>
      <c r="AE219" s="217">
        <f t="shared" ref="AE219:AE220" si="72">P219/10^6</f>
        <v>0</v>
      </c>
      <c r="AF219" s="226">
        <f t="shared" ref="AF219:AF228" si="73">IF(AL219=0,0,AE219/AL219)</f>
        <v>0</v>
      </c>
      <c r="AG219" s="227">
        <f t="shared" ref="AG219:AG220" si="74">(AH219*AI219*AJ219)/10^6</f>
        <v>37.907932000000002</v>
      </c>
      <c r="AH219" s="217">
        <v>163</v>
      </c>
      <c r="AI219" s="217">
        <v>212</v>
      </c>
      <c r="AJ219" s="217">
        <v>1097</v>
      </c>
      <c r="AK219" s="217">
        <v>550</v>
      </c>
      <c r="AL219" s="227">
        <f t="shared" ref="AL219:AL228" si="75">(AK219*AJ219*AI219)/10^6</f>
        <v>127.9102</v>
      </c>
      <c r="AM219" s="227">
        <f t="shared" ref="AM219:AM228" si="76">AL219*U219</f>
        <v>58.627640169999999</v>
      </c>
      <c r="AN219" s="228">
        <f>AI219*AK219</f>
        <v>116600</v>
      </c>
      <c r="AO219" s="228">
        <f t="shared" ref="AO219:AO228" si="77">AH219*AI219</f>
        <v>34556</v>
      </c>
      <c r="AP219" s="229">
        <f t="shared" ref="AP219:AP228" si="78">U219+AB219</f>
        <v>0.49999999999999994</v>
      </c>
      <c r="AQ219" s="245">
        <f>AL219*AP219/(AG219+AE219)</f>
        <v>1.6871165644171777</v>
      </c>
      <c r="AR219" s="131" t="s">
        <v>783</v>
      </c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</row>
    <row r="220" spans="1:123">
      <c r="A220" s="250" t="s">
        <v>451</v>
      </c>
      <c r="B220" s="156" t="s">
        <v>694</v>
      </c>
      <c r="C220" s="157" t="s">
        <v>387</v>
      </c>
      <c r="D220" s="158">
        <v>1</v>
      </c>
      <c r="E220" s="159" t="s">
        <v>739</v>
      </c>
      <c r="F220" s="160"/>
      <c r="G220" s="161">
        <v>2267</v>
      </c>
      <c r="H220" s="160"/>
      <c r="I220" s="160"/>
      <c r="J220" s="162">
        <v>217</v>
      </c>
      <c r="K220" s="163" t="s">
        <v>103</v>
      </c>
      <c r="L220" s="163" t="s">
        <v>105</v>
      </c>
      <c r="M220" s="162" t="s">
        <v>572</v>
      </c>
      <c r="N220" s="192" t="s">
        <v>106</v>
      </c>
      <c r="O220" s="163" t="s">
        <v>760</v>
      </c>
      <c r="P220" s="164">
        <v>0</v>
      </c>
      <c r="Q220" s="165" t="s">
        <v>25</v>
      </c>
      <c r="R220" s="165" t="s">
        <v>26</v>
      </c>
      <c r="S220" s="162">
        <v>2029</v>
      </c>
      <c r="T220" s="166">
        <v>47299</v>
      </c>
      <c r="U220" s="167">
        <v>0.68752499999999994</v>
      </c>
      <c r="V220" s="167">
        <v>0.25</v>
      </c>
      <c r="W220" s="168">
        <f t="shared" si="71"/>
        <v>0.93752499999999994</v>
      </c>
      <c r="X220" s="167">
        <v>0.05</v>
      </c>
      <c r="Y220" s="167">
        <v>0</v>
      </c>
      <c r="Z220" s="167">
        <v>6.8000000000000005E-2</v>
      </c>
      <c r="AA220" s="169">
        <v>0.19800000000000001</v>
      </c>
      <c r="AB220" s="167">
        <v>6.2475000000000058E-2</v>
      </c>
      <c r="AC220" s="113">
        <f t="shared" si="70"/>
        <v>204000</v>
      </c>
      <c r="AD220" s="166"/>
      <c r="AE220" s="160">
        <f t="shared" si="72"/>
        <v>0</v>
      </c>
      <c r="AF220" s="169">
        <f t="shared" si="73"/>
        <v>0</v>
      </c>
      <c r="AG220" s="171">
        <f t="shared" si="74"/>
        <v>28.56</v>
      </c>
      <c r="AH220" s="160">
        <v>140</v>
      </c>
      <c r="AI220" s="160">
        <v>300</v>
      </c>
      <c r="AJ220" s="160">
        <v>680</v>
      </c>
      <c r="AK220" s="160">
        <v>500.00000000000006</v>
      </c>
      <c r="AL220" s="171">
        <f t="shared" si="75"/>
        <v>102.00000000000001</v>
      </c>
      <c r="AM220" s="171">
        <f t="shared" si="76"/>
        <v>70.127549999999999</v>
      </c>
      <c r="AN220" s="172">
        <f t="shared" ref="AN220" si="79">AI220*AK220</f>
        <v>150000.00000000003</v>
      </c>
      <c r="AO220" s="172">
        <f t="shared" si="77"/>
        <v>42000</v>
      </c>
      <c r="AP220" s="173">
        <f t="shared" si="78"/>
        <v>0.75</v>
      </c>
      <c r="AQ220" s="243">
        <f t="shared" ref="AQ220" si="80">AL220*AP220/(AG220+AE220)</f>
        <v>2.6785714285714293</v>
      </c>
      <c r="AR220" s="246" t="s">
        <v>783</v>
      </c>
    </row>
    <row r="221" spans="1:123" s="120" customFormat="1" ht="13">
      <c r="A221" s="258" t="s">
        <v>451</v>
      </c>
      <c r="B221" s="231" t="s">
        <v>816</v>
      </c>
      <c r="C221" s="230"/>
      <c r="D221" s="198">
        <v>1</v>
      </c>
      <c r="E221" s="199" t="s">
        <v>739</v>
      </c>
      <c r="F221" s="230"/>
      <c r="G221" s="232"/>
      <c r="H221" s="230"/>
      <c r="I221" s="230"/>
      <c r="J221" s="230"/>
      <c r="K221" s="203" t="s">
        <v>103</v>
      </c>
      <c r="L221" s="230" t="s">
        <v>105</v>
      </c>
      <c r="M221" s="232" t="s">
        <v>572</v>
      </c>
      <c r="N221" s="230" t="s">
        <v>817</v>
      </c>
      <c r="O221" s="230" t="s">
        <v>760</v>
      </c>
      <c r="P221" s="230"/>
      <c r="Q221" s="232" t="s">
        <v>25</v>
      </c>
      <c r="R221" s="232"/>
      <c r="S221" s="232">
        <v>2029</v>
      </c>
      <c r="T221" s="206">
        <v>46203</v>
      </c>
      <c r="U221" s="207">
        <v>0.72</v>
      </c>
      <c r="V221" s="207">
        <v>0.28000000000000003</v>
      </c>
      <c r="W221" s="208">
        <f t="shared" si="71"/>
        <v>1</v>
      </c>
      <c r="X221" s="207"/>
      <c r="Y221" s="207">
        <v>0</v>
      </c>
      <c r="Z221" s="230"/>
      <c r="AA221" s="209"/>
      <c r="AB221" s="207"/>
      <c r="AC221" s="113">
        <f t="shared" si="70"/>
        <v>126000</v>
      </c>
      <c r="AD221" s="230"/>
      <c r="AE221" s="200">
        <v>0</v>
      </c>
      <c r="AF221" s="209">
        <f t="shared" si="73"/>
        <v>0</v>
      </c>
      <c r="AG221" s="210">
        <v>29</v>
      </c>
      <c r="AH221" s="200">
        <v>140</v>
      </c>
      <c r="AI221" s="200">
        <v>300</v>
      </c>
      <c r="AJ221" s="200">
        <v>420</v>
      </c>
      <c r="AK221" s="200">
        <v>500</v>
      </c>
      <c r="AL221" s="210">
        <f t="shared" si="75"/>
        <v>63</v>
      </c>
      <c r="AM221" s="210">
        <f t="shared" si="76"/>
        <v>45.36</v>
      </c>
      <c r="AN221" s="211">
        <f>AI221*AK221</f>
        <v>150000</v>
      </c>
      <c r="AO221" s="211">
        <f t="shared" si="77"/>
        <v>42000</v>
      </c>
      <c r="AP221" s="212">
        <f t="shared" si="78"/>
        <v>0.72</v>
      </c>
      <c r="AQ221" s="244">
        <f>AL221*AP221/(AG221+AE221)</f>
        <v>1.5641379310344827</v>
      </c>
      <c r="AR221" s="232" t="s">
        <v>783</v>
      </c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</row>
    <row r="222" spans="1:123">
      <c r="A222" s="250" t="s">
        <v>479</v>
      </c>
      <c r="B222" s="156" t="s">
        <v>660</v>
      </c>
      <c r="C222" s="157" t="s">
        <v>364</v>
      </c>
      <c r="D222" s="158">
        <v>1</v>
      </c>
      <c r="E222" s="159" t="s">
        <v>740</v>
      </c>
      <c r="F222" s="160"/>
      <c r="G222" s="161">
        <v>2372</v>
      </c>
      <c r="H222" s="160"/>
      <c r="I222" s="160"/>
      <c r="J222" s="162">
        <v>274</v>
      </c>
      <c r="K222" s="163" t="s">
        <v>143</v>
      </c>
      <c r="L222" s="163" t="s">
        <v>144</v>
      </c>
      <c r="M222" s="162" t="s">
        <v>575</v>
      </c>
      <c r="N222" s="192" t="s">
        <v>594</v>
      </c>
      <c r="O222" s="163" t="s">
        <v>760</v>
      </c>
      <c r="P222" s="164">
        <v>0</v>
      </c>
      <c r="Q222" s="165" t="s">
        <v>25</v>
      </c>
      <c r="R222" s="165" t="s">
        <v>759</v>
      </c>
      <c r="S222" s="162">
        <v>2029</v>
      </c>
      <c r="T222" s="166">
        <v>47208</v>
      </c>
      <c r="U222" s="167">
        <v>0.57199999999999995</v>
      </c>
      <c r="V222" s="167">
        <v>0.28500000000000003</v>
      </c>
      <c r="W222" s="168">
        <f t="shared" si="71"/>
        <v>0.85699999999999998</v>
      </c>
      <c r="X222" s="167">
        <v>7.0000000000000007E-2</v>
      </c>
      <c r="Y222" s="167">
        <v>0</v>
      </c>
      <c r="Z222" s="167">
        <v>6.8000000000000005E-2</v>
      </c>
      <c r="AA222" s="169">
        <v>0.19800000000000001</v>
      </c>
      <c r="AB222" s="167">
        <v>0.14300000000000002</v>
      </c>
      <c r="AC222" s="113">
        <f t="shared" si="70"/>
        <v>57200</v>
      </c>
      <c r="AD222" s="166"/>
      <c r="AE222" s="160">
        <f t="shared" ref="AE222:AE228" si="81">P222/10^6</f>
        <v>0</v>
      </c>
      <c r="AF222" s="169">
        <f t="shared" si="73"/>
        <v>0</v>
      </c>
      <c r="AG222" s="171">
        <f t="shared" ref="AG222:AG228" si="82">(AH222*AI222*AJ222)/10^6</f>
        <v>10.01</v>
      </c>
      <c r="AH222" s="160">
        <v>175</v>
      </c>
      <c r="AI222" s="160">
        <v>260</v>
      </c>
      <c r="AJ222" s="160">
        <v>220</v>
      </c>
      <c r="AK222" s="160">
        <v>600</v>
      </c>
      <c r="AL222" s="171">
        <f t="shared" si="75"/>
        <v>34.32</v>
      </c>
      <c r="AM222" s="171">
        <f t="shared" si="76"/>
        <v>19.631039999999999</v>
      </c>
      <c r="AN222" s="172">
        <f t="shared" ref="AN222:AN228" si="83">AI222*AK222</f>
        <v>156000</v>
      </c>
      <c r="AO222" s="172">
        <f t="shared" si="77"/>
        <v>45500</v>
      </c>
      <c r="AP222" s="173">
        <f t="shared" si="78"/>
        <v>0.71499999999999997</v>
      </c>
      <c r="AQ222" s="243">
        <f t="shared" ref="AQ222:AQ228" si="84">AL222*AP222/(AG222+AE222)</f>
        <v>2.4514285714285715</v>
      </c>
      <c r="AR222" s="18" t="s">
        <v>783</v>
      </c>
    </row>
    <row r="223" spans="1:123" s="120" customFormat="1">
      <c r="A223" s="249" t="s">
        <v>493</v>
      </c>
      <c r="B223" s="196" t="s">
        <v>685</v>
      </c>
      <c r="C223" s="197" t="s">
        <v>352</v>
      </c>
      <c r="D223" s="198">
        <v>1</v>
      </c>
      <c r="E223" s="199" t="s">
        <v>740</v>
      </c>
      <c r="F223" s="200"/>
      <c r="G223" s="201">
        <v>2373</v>
      </c>
      <c r="H223" s="200"/>
      <c r="I223" s="200"/>
      <c r="J223" s="202">
        <v>306</v>
      </c>
      <c r="K223" s="203" t="s">
        <v>143</v>
      </c>
      <c r="L223" s="203" t="s">
        <v>150</v>
      </c>
      <c r="M223" s="202" t="s">
        <v>575</v>
      </c>
      <c r="N223" s="233" t="s">
        <v>604</v>
      </c>
      <c r="O223" s="203" t="s">
        <v>760</v>
      </c>
      <c r="P223" s="204">
        <v>0</v>
      </c>
      <c r="Q223" s="205" t="s">
        <v>25</v>
      </c>
      <c r="R223" s="205" t="s">
        <v>26</v>
      </c>
      <c r="S223" s="202">
        <v>2029</v>
      </c>
      <c r="T223" s="206">
        <v>47299</v>
      </c>
      <c r="U223" s="207">
        <v>0.59179999999999999</v>
      </c>
      <c r="V223" s="207">
        <v>0.26029999999999998</v>
      </c>
      <c r="W223" s="208">
        <f t="shared" si="71"/>
        <v>0.85209999999999997</v>
      </c>
      <c r="X223" s="207">
        <v>7.0000000000000007E-2</v>
      </c>
      <c r="Y223" s="207">
        <v>9.5000000000000001E-2</v>
      </c>
      <c r="Z223" s="207">
        <v>6.8000000000000005E-2</v>
      </c>
      <c r="AA223" s="209">
        <v>0.19800000000000001</v>
      </c>
      <c r="AB223" s="207">
        <v>0.14790000000000003</v>
      </c>
      <c r="AC223" s="113">
        <f t="shared" si="70"/>
        <v>375000</v>
      </c>
      <c r="AD223" s="206"/>
      <c r="AE223" s="200">
        <f t="shared" si="81"/>
        <v>0</v>
      </c>
      <c r="AF223" s="209">
        <f t="shared" si="73"/>
        <v>0</v>
      </c>
      <c r="AG223" s="210">
        <f t="shared" si="82"/>
        <v>65.625</v>
      </c>
      <c r="AH223" s="200">
        <v>175</v>
      </c>
      <c r="AI223" s="200">
        <v>400</v>
      </c>
      <c r="AJ223" s="200">
        <v>937.5</v>
      </c>
      <c r="AK223" s="200">
        <v>800</v>
      </c>
      <c r="AL223" s="210">
        <f t="shared" si="75"/>
        <v>300</v>
      </c>
      <c r="AM223" s="210">
        <f t="shared" si="76"/>
        <v>177.54</v>
      </c>
      <c r="AN223" s="211">
        <f t="shared" si="83"/>
        <v>320000</v>
      </c>
      <c r="AO223" s="211">
        <f t="shared" si="77"/>
        <v>70000</v>
      </c>
      <c r="AP223" s="212">
        <f t="shared" si="78"/>
        <v>0.73970000000000002</v>
      </c>
      <c r="AQ223" s="244">
        <f t="shared" si="84"/>
        <v>3.3814857142857142</v>
      </c>
      <c r="AR223" s="131" t="s">
        <v>783</v>
      </c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</row>
    <row r="224" spans="1:123">
      <c r="A224" s="250" t="s">
        <v>491</v>
      </c>
      <c r="B224" s="156" t="s">
        <v>682</v>
      </c>
      <c r="C224" s="157" t="s">
        <v>356</v>
      </c>
      <c r="D224" s="158">
        <v>1</v>
      </c>
      <c r="E224" s="159" t="s">
        <v>740</v>
      </c>
      <c r="F224" s="160"/>
      <c r="G224" s="161">
        <v>2374</v>
      </c>
      <c r="H224" s="160"/>
      <c r="I224" s="160"/>
      <c r="J224" s="162">
        <v>303</v>
      </c>
      <c r="K224" s="163" t="s">
        <v>143</v>
      </c>
      <c r="L224" s="163" t="s">
        <v>149</v>
      </c>
      <c r="M224" s="162" t="s">
        <v>575</v>
      </c>
      <c r="N224" s="192" t="s">
        <v>611</v>
      </c>
      <c r="O224" s="163" t="s">
        <v>760</v>
      </c>
      <c r="P224" s="164">
        <v>0</v>
      </c>
      <c r="Q224" s="165" t="s">
        <v>25</v>
      </c>
      <c r="R224" s="165" t="s">
        <v>26</v>
      </c>
      <c r="S224" s="162">
        <v>2028</v>
      </c>
      <c r="T224" s="166">
        <v>47026</v>
      </c>
      <c r="U224" s="167">
        <v>0.4</v>
      </c>
      <c r="V224" s="167">
        <v>0.5</v>
      </c>
      <c r="W224" s="168">
        <f t="shared" si="71"/>
        <v>0.9</v>
      </c>
      <c r="X224" s="167">
        <v>7.0000000000000007E-2</v>
      </c>
      <c r="Y224" s="167">
        <v>9.5000000000000001E-2</v>
      </c>
      <c r="Z224" s="167">
        <v>6.8000000000000005E-2</v>
      </c>
      <c r="AA224" s="169">
        <v>0.19800000000000001</v>
      </c>
      <c r="AB224" s="167">
        <v>9.9999999999999978E-2</v>
      </c>
      <c r="AC224" s="113">
        <f t="shared" si="70"/>
        <v>150500</v>
      </c>
      <c r="AD224" s="166"/>
      <c r="AE224" s="160">
        <f t="shared" si="81"/>
        <v>0</v>
      </c>
      <c r="AF224" s="169">
        <f t="shared" si="73"/>
        <v>0</v>
      </c>
      <c r="AG224" s="171">
        <f t="shared" si="82"/>
        <v>26.337499999999995</v>
      </c>
      <c r="AH224" s="160">
        <v>175</v>
      </c>
      <c r="AI224" s="160">
        <v>446.58753709198811</v>
      </c>
      <c r="AJ224" s="160">
        <v>337</v>
      </c>
      <c r="AK224" s="160">
        <v>750</v>
      </c>
      <c r="AL224" s="171">
        <f t="shared" si="75"/>
        <v>112.875</v>
      </c>
      <c r="AM224" s="171">
        <f t="shared" si="76"/>
        <v>45.150000000000006</v>
      </c>
      <c r="AN224" s="172">
        <f t="shared" si="83"/>
        <v>334940.6528189911</v>
      </c>
      <c r="AO224" s="172">
        <f t="shared" si="77"/>
        <v>78152.818991097913</v>
      </c>
      <c r="AP224" s="173">
        <f t="shared" si="78"/>
        <v>0.5</v>
      </c>
      <c r="AQ224" s="243">
        <f t="shared" si="84"/>
        <v>2.1428571428571432</v>
      </c>
      <c r="AR224" s="18" t="s">
        <v>783</v>
      </c>
    </row>
    <row r="225" spans="1:123" s="120" customFormat="1">
      <c r="A225" s="249" t="s">
        <v>480</v>
      </c>
      <c r="B225" s="196" t="s">
        <v>664</v>
      </c>
      <c r="C225" s="197" t="s">
        <v>363</v>
      </c>
      <c r="D225" s="198">
        <v>1</v>
      </c>
      <c r="E225" s="199" t="s">
        <v>740</v>
      </c>
      <c r="F225" s="200"/>
      <c r="G225" s="201">
        <v>2377</v>
      </c>
      <c r="H225" s="200"/>
      <c r="I225" s="200"/>
      <c r="J225" s="202">
        <v>278</v>
      </c>
      <c r="K225" s="203" t="s">
        <v>143</v>
      </c>
      <c r="L225" s="203" t="s">
        <v>145</v>
      </c>
      <c r="M225" s="202" t="s">
        <v>575</v>
      </c>
      <c r="N225" s="233" t="s">
        <v>821</v>
      </c>
      <c r="O225" s="203" t="s">
        <v>760</v>
      </c>
      <c r="P225" s="204">
        <v>0</v>
      </c>
      <c r="Q225" s="205" t="s">
        <v>25</v>
      </c>
      <c r="R225" s="205" t="s">
        <v>26</v>
      </c>
      <c r="S225" s="202">
        <v>2031</v>
      </c>
      <c r="T225" s="206">
        <v>47483</v>
      </c>
      <c r="U225" s="207">
        <v>0.56000000000000005</v>
      </c>
      <c r="V225" s="207">
        <v>0.29999999999999993</v>
      </c>
      <c r="W225" s="208">
        <f t="shared" si="71"/>
        <v>0.86</v>
      </c>
      <c r="X225" s="207">
        <v>7.0000000000000007E-2</v>
      </c>
      <c r="Y225" s="207">
        <v>9.5000000000000001E-2</v>
      </c>
      <c r="Z225" s="207">
        <v>6.8000000000000005E-2</v>
      </c>
      <c r="AA225" s="209">
        <v>0.19800000000000001</v>
      </c>
      <c r="AB225" s="207">
        <v>0.14000000000000001</v>
      </c>
      <c r="AC225" s="113">
        <f t="shared" si="70"/>
        <v>220066.66666666669</v>
      </c>
      <c r="AD225" s="206"/>
      <c r="AE225" s="200">
        <f t="shared" si="81"/>
        <v>0</v>
      </c>
      <c r="AF225" s="209">
        <f t="shared" si="73"/>
        <v>0</v>
      </c>
      <c r="AG225" s="210">
        <f t="shared" si="82"/>
        <v>38.51166666666667</v>
      </c>
      <c r="AH225" s="200">
        <v>175</v>
      </c>
      <c r="AI225" s="200">
        <v>269.03015484922577</v>
      </c>
      <c r="AJ225" s="200">
        <v>818</v>
      </c>
      <c r="AK225" s="200">
        <v>650</v>
      </c>
      <c r="AL225" s="210">
        <f t="shared" si="75"/>
        <v>143.04333333333335</v>
      </c>
      <c r="AM225" s="210">
        <f t="shared" si="76"/>
        <v>80.104266666666689</v>
      </c>
      <c r="AN225" s="211">
        <f t="shared" si="83"/>
        <v>174869.60065199673</v>
      </c>
      <c r="AO225" s="211">
        <f t="shared" si="77"/>
        <v>47080.277098614511</v>
      </c>
      <c r="AP225" s="212">
        <f t="shared" si="78"/>
        <v>0.70000000000000007</v>
      </c>
      <c r="AQ225" s="244">
        <f t="shared" si="84"/>
        <v>2.6</v>
      </c>
      <c r="AR225" s="131" t="s">
        <v>783</v>
      </c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</row>
    <row r="226" spans="1:123">
      <c r="A226" s="250" t="s">
        <v>483</v>
      </c>
      <c r="B226" s="156" t="s">
        <v>667</v>
      </c>
      <c r="C226" s="157" t="s">
        <v>362</v>
      </c>
      <c r="D226" s="158">
        <v>1</v>
      </c>
      <c r="E226" s="159" t="s">
        <v>740</v>
      </c>
      <c r="F226" s="160"/>
      <c r="G226" s="161">
        <v>2381</v>
      </c>
      <c r="H226" s="160"/>
      <c r="I226" s="160"/>
      <c r="J226" s="162">
        <v>283</v>
      </c>
      <c r="K226" s="163" t="s">
        <v>143</v>
      </c>
      <c r="L226" s="163" t="s">
        <v>146</v>
      </c>
      <c r="M226" s="162" t="s">
        <v>575</v>
      </c>
      <c r="N226" s="192" t="s">
        <v>824</v>
      </c>
      <c r="O226" s="163" t="s">
        <v>760</v>
      </c>
      <c r="P226" s="164">
        <v>0</v>
      </c>
      <c r="Q226" s="165" t="s">
        <v>73</v>
      </c>
      <c r="R226" s="165" t="s">
        <v>759</v>
      </c>
      <c r="S226" s="162">
        <v>2030</v>
      </c>
      <c r="T226" s="166">
        <v>47848</v>
      </c>
      <c r="U226" s="167">
        <v>0.43409999999999999</v>
      </c>
      <c r="V226" s="167">
        <v>0.45740000000000003</v>
      </c>
      <c r="W226" s="168">
        <f t="shared" si="71"/>
        <v>0.89149999999999996</v>
      </c>
      <c r="X226" s="167">
        <v>7.0000000000000007E-2</v>
      </c>
      <c r="Y226" s="167">
        <v>0.06</v>
      </c>
      <c r="Z226" s="167">
        <v>6.8000000000000005E-2</v>
      </c>
      <c r="AA226" s="169">
        <v>0.19800000000000001</v>
      </c>
      <c r="AB226" s="167">
        <v>0.10850000000000004</v>
      </c>
      <c r="AC226" s="113">
        <f t="shared" si="70"/>
        <v>131815.12605042016</v>
      </c>
      <c r="AD226" s="166"/>
      <c r="AE226" s="160">
        <f t="shared" si="81"/>
        <v>0</v>
      </c>
      <c r="AF226" s="169">
        <f t="shared" si="73"/>
        <v>0</v>
      </c>
      <c r="AG226" s="171">
        <f t="shared" si="82"/>
        <v>39.544537815126048</v>
      </c>
      <c r="AH226" s="160">
        <v>300</v>
      </c>
      <c r="AI226" s="160">
        <v>184.87394957983193</v>
      </c>
      <c r="AJ226" s="160">
        <v>713</v>
      </c>
      <c r="AK226" s="160">
        <v>1200</v>
      </c>
      <c r="AL226" s="171">
        <f t="shared" si="75"/>
        <v>158.17815126050419</v>
      </c>
      <c r="AM226" s="171">
        <f t="shared" si="76"/>
        <v>68.665135462184864</v>
      </c>
      <c r="AN226" s="172">
        <f t="shared" si="83"/>
        <v>221848.73949579831</v>
      </c>
      <c r="AO226" s="172">
        <f t="shared" si="77"/>
        <v>55462.184873949576</v>
      </c>
      <c r="AP226" s="173">
        <f t="shared" si="78"/>
        <v>0.54259999999999997</v>
      </c>
      <c r="AQ226" s="243">
        <f t="shared" si="84"/>
        <v>2.1703999999999999</v>
      </c>
      <c r="AR226" s="18" t="s">
        <v>783</v>
      </c>
    </row>
    <row r="227" spans="1:123" s="120" customFormat="1">
      <c r="A227" s="249" t="s">
        <v>560</v>
      </c>
      <c r="B227" s="196" t="s">
        <v>704</v>
      </c>
      <c r="C227" s="196"/>
      <c r="D227" s="198">
        <v>1</v>
      </c>
      <c r="E227" s="199" t="s">
        <v>740</v>
      </c>
      <c r="F227" s="200"/>
      <c r="G227" s="201">
        <v>2393</v>
      </c>
      <c r="H227" s="200"/>
      <c r="I227" s="200"/>
      <c r="J227" s="202"/>
      <c r="K227" s="203" t="s">
        <v>143</v>
      </c>
      <c r="L227" s="203" t="s">
        <v>155</v>
      </c>
      <c r="M227" s="202" t="s">
        <v>575</v>
      </c>
      <c r="N227" s="233" t="s">
        <v>853</v>
      </c>
      <c r="O227" s="203" t="s">
        <v>760</v>
      </c>
      <c r="P227" s="204">
        <v>0</v>
      </c>
      <c r="Q227" s="205" t="s">
        <v>25</v>
      </c>
      <c r="R227" s="205" t="s">
        <v>26</v>
      </c>
      <c r="S227" s="202">
        <v>2029</v>
      </c>
      <c r="T227" s="206"/>
      <c r="U227" s="207">
        <v>0.56000000000000005</v>
      </c>
      <c r="V227" s="207">
        <v>0.3</v>
      </c>
      <c r="W227" s="208">
        <f t="shared" si="71"/>
        <v>0.8600000000000001</v>
      </c>
      <c r="X227" s="207"/>
      <c r="Y227" s="207"/>
      <c r="Z227" s="207"/>
      <c r="AA227" s="209">
        <v>0.19800000000000001</v>
      </c>
      <c r="AB227" s="207"/>
      <c r="AC227" s="113">
        <f t="shared" si="70"/>
        <v>159300</v>
      </c>
      <c r="AD227" s="206"/>
      <c r="AE227" s="200">
        <f t="shared" si="81"/>
        <v>0</v>
      </c>
      <c r="AF227" s="209">
        <f t="shared" si="73"/>
        <v>0</v>
      </c>
      <c r="AG227" s="210">
        <f t="shared" si="82"/>
        <v>27.877500000000001</v>
      </c>
      <c r="AH227" s="200">
        <v>175</v>
      </c>
      <c r="AI227" s="200">
        <v>300</v>
      </c>
      <c r="AJ227" s="200">
        <v>531</v>
      </c>
      <c r="AK227" s="200">
        <v>700</v>
      </c>
      <c r="AL227" s="210">
        <f t="shared" si="75"/>
        <v>111.51</v>
      </c>
      <c r="AM227" s="210">
        <f t="shared" si="76"/>
        <v>62.445600000000006</v>
      </c>
      <c r="AN227" s="211">
        <f t="shared" si="83"/>
        <v>210000</v>
      </c>
      <c r="AO227" s="211">
        <f t="shared" si="77"/>
        <v>52500</v>
      </c>
      <c r="AP227" s="212">
        <f t="shared" si="78"/>
        <v>0.56000000000000005</v>
      </c>
      <c r="AQ227" s="244">
        <f t="shared" si="84"/>
        <v>2.2400000000000002</v>
      </c>
      <c r="AR227" s="131" t="s">
        <v>783</v>
      </c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</row>
    <row r="228" spans="1:123">
      <c r="A228" s="250" t="s">
        <v>503</v>
      </c>
      <c r="B228" s="156" t="s">
        <v>697</v>
      </c>
      <c r="C228" s="157" t="s">
        <v>345</v>
      </c>
      <c r="D228" s="158">
        <v>1</v>
      </c>
      <c r="E228" s="159" t="s">
        <v>739</v>
      </c>
      <c r="F228" s="160"/>
      <c r="G228" s="161">
        <v>2392</v>
      </c>
      <c r="H228" s="160"/>
      <c r="I228" s="160"/>
      <c r="J228" s="162">
        <v>321</v>
      </c>
      <c r="K228" s="163" t="s">
        <v>143</v>
      </c>
      <c r="L228" s="163" t="s">
        <v>156</v>
      </c>
      <c r="M228" s="162" t="s">
        <v>575</v>
      </c>
      <c r="N228" s="192" t="s">
        <v>855</v>
      </c>
      <c r="O228" s="163" t="s">
        <v>760</v>
      </c>
      <c r="P228" s="164">
        <v>0</v>
      </c>
      <c r="Q228" s="165" t="s">
        <v>25</v>
      </c>
      <c r="R228" s="165" t="s">
        <v>26</v>
      </c>
      <c r="S228" s="162">
        <v>2029</v>
      </c>
      <c r="T228" s="166">
        <v>47299</v>
      </c>
      <c r="U228" s="167">
        <v>0.53600000000000003</v>
      </c>
      <c r="V228" s="167">
        <v>0.32999999999999996</v>
      </c>
      <c r="W228" s="168">
        <f t="shared" si="71"/>
        <v>0.86599999999999999</v>
      </c>
      <c r="X228" s="167">
        <v>7.0000000000000007E-2</v>
      </c>
      <c r="Y228" s="167">
        <v>9.5000000000000001E-2</v>
      </c>
      <c r="Z228" s="167">
        <v>6.8000000000000005E-2</v>
      </c>
      <c r="AA228" s="169">
        <v>0.19800000000000001</v>
      </c>
      <c r="AB228" s="167">
        <v>0.13400000000000001</v>
      </c>
      <c r="AC228" s="113">
        <f t="shared" si="70"/>
        <v>107400</v>
      </c>
      <c r="AD228" s="166"/>
      <c r="AE228" s="160">
        <f t="shared" si="81"/>
        <v>0</v>
      </c>
      <c r="AF228" s="169">
        <f t="shared" si="73"/>
        <v>0</v>
      </c>
      <c r="AG228" s="171">
        <f t="shared" si="82"/>
        <v>18.795000000000002</v>
      </c>
      <c r="AH228" s="160">
        <v>175</v>
      </c>
      <c r="AI228" s="160">
        <v>300</v>
      </c>
      <c r="AJ228" s="160">
        <v>358</v>
      </c>
      <c r="AK228" s="160">
        <v>600</v>
      </c>
      <c r="AL228" s="171">
        <f t="shared" si="75"/>
        <v>64.44</v>
      </c>
      <c r="AM228" s="171">
        <f t="shared" si="76"/>
        <v>34.539839999999998</v>
      </c>
      <c r="AN228" s="172">
        <f t="shared" si="83"/>
        <v>180000</v>
      </c>
      <c r="AO228" s="172">
        <f t="shared" si="77"/>
        <v>52500</v>
      </c>
      <c r="AP228" s="173">
        <f t="shared" si="78"/>
        <v>0.67</v>
      </c>
      <c r="AQ228" s="243">
        <f t="shared" si="84"/>
        <v>2.2971428571428567</v>
      </c>
      <c r="AR228" s="18" t="s">
        <v>783</v>
      </c>
    </row>
    <row r="229" spans="1:123" s="120" customFormat="1">
      <c r="A229" s="249" t="s">
        <v>503</v>
      </c>
      <c r="B229" s="130" t="s">
        <v>828</v>
      </c>
      <c r="D229" s="131" t="s">
        <v>705</v>
      </c>
      <c r="E229" s="134" t="s">
        <v>739</v>
      </c>
      <c r="G229" s="131"/>
      <c r="K229" s="130" t="s">
        <v>143</v>
      </c>
      <c r="L229" s="120" t="s">
        <v>156</v>
      </c>
      <c r="M229" s="131" t="s">
        <v>575</v>
      </c>
      <c r="N229" s="120" t="s">
        <v>829</v>
      </c>
      <c r="O229" s="120" t="s">
        <v>760</v>
      </c>
      <c r="Q229" s="131" t="s">
        <v>25</v>
      </c>
      <c r="R229" s="131"/>
      <c r="S229" s="131">
        <v>2029</v>
      </c>
      <c r="T229" s="206">
        <v>47299</v>
      </c>
      <c r="U229" s="207">
        <v>0.48</v>
      </c>
      <c r="V229" s="207">
        <v>0.4</v>
      </c>
      <c r="W229" s="208">
        <f t="shared" ref="W229:W240" si="85">SUM(U229:V229)</f>
        <v>0.88</v>
      </c>
      <c r="X229" s="207">
        <v>7.0000000000000007E-2</v>
      </c>
      <c r="Y229" s="207">
        <v>9.5000000000000001E-2</v>
      </c>
      <c r="Z229" s="207">
        <v>6.8000000000000005E-2</v>
      </c>
      <c r="AA229" s="209">
        <v>0.19800000000000001</v>
      </c>
      <c r="AB229" s="207">
        <v>0.13400000000000001</v>
      </c>
      <c r="AC229" s="113">
        <f t="shared" si="70"/>
        <v>349920</v>
      </c>
      <c r="AD229" s="206"/>
      <c r="AE229" s="200">
        <f t="shared" ref="AE229:AE235" si="86">P229/10^6</f>
        <v>0</v>
      </c>
      <c r="AF229" s="209">
        <f t="shared" ref="AF229:AF240" si="87">IF(AL229=0,0,AE229/AL229)</f>
        <v>0</v>
      </c>
      <c r="AG229" s="210">
        <f t="shared" ref="AG229:AG240" si="88">(AH229*AI229*AJ229)/10^6</f>
        <v>61.235999999999997</v>
      </c>
      <c r="AH229" s="200">
        <v>175</v>
      </c>
      <c r="AI229" s="200">
        <v>360</v>
      </c>
      <c r="AJ229" s="200">
        <v>972</v>
      </c>
      <c r="AK229" s="200">
        <v>1300</v>
      </c>
      <c r="AL229" s="210">
        <f t="shared" ref="AL229:AL234" si="89">(AK229*AJ229*AI229)/10^6</f>
        <v>454.89600000000002</v>
      </c>
      <c r="AM229" s="210">
        <f t="shared" ref="AM229:AM234" si="90">AL229*U229</f>
        <v>218.35007999999999</v>
      </c>
      <c r="AN229" s="211">
        <f t="shared" ref="AN229:AN234" si="91">AI229*AK229</f>
        <v>468000</v>
      </c>
      <c r="AO229" s="211">
        <f t="shared" ref="AO229:AO234" si="92">AH229*AI229</f>
        <v>63000</v>
      </c>
      <c r="AP229" s="212">
        <f t="shared" ref="AP229:AP234" si="93">U229+AB229</f>
        <v>0.61399999999999999</v>
      </c>
      <c r="AQ229" s="244">
        <f t="shared" ref="AQ229:AQ233" si="94">AL229*AP229/(AG229+AE229)</f>
        <v>4.5611428571428574</v>
      </c>
      <c r="AR229" s="131" t="s">
        <v>783</v>
      </c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</row>
    <row r="230" spans="1:123">
      <c r="A230" s="250" t="s">
        <v>428</v>
      </c>
      <c r="B230" s="156" t="s">
        <v>211</v>
      </c>
      <c r="C230" s="157" t="s">
        <v>327</v>
      </c>
      <c r="D230" s="158">
        <v>1</v>
      </c>
      <c r="E230" s="159" t="s">
        <v>740</v>
      </c>
      <c r="F230" s="160"/>
      <c r="G230" s="161" t="s">
        <v>753</v>
      </c>
      <c r="H230" s="160"/>
      <c r="I230" s="160"/>
      <c r="J230" s="162">
        <v>167</v>
      </c>
      <c r="K230" s="163" t="s">
        <v>53</v>
      </c>
      <c r="L230" s="163" t="s">
        <v>54</v>
      </c>
      <c r="M230" s="162" t="s">
        <v>568</v>
      </c>
      <c r="N230" s="192" t="s">
        <v>61</v>
      </c>
      <c r="O230" s="163" t="s">
        <v>756</v>
      </c>
      <c r="P230" s="164">
        <v>2781250</v>
      </c>
      <c r="Q230" s="165" t="s">
        <v>25</v>
      </c>
      <c r="R230" s="165" t="s">
        <v>26</v>
      </c>
      <c r="S230" s="162">
        <v>2033</v>
      </c>
      <c r="T230" s="166">
        <v>48944</v>
      </c>
      <c r="U230" s="167">
        <v>0.36959999999999998</v>
      </c>
      <c r="V230" s="167"/>
      <c r="W230" s="168">
        <f t="shared" si="85"/>
        <v>0.36959999999999998</v>
      </c>
      <c r="X230" s="167"/>
      <c r="Y230" s="167"/>
      <c r="Z230" s="167"/>
      <c r="AA230" s="169">
        <v>0.19800000000000001</v>
      </c>
      <c r="AB230" s="167">
        <v>0.63040000000000007</v>
      </c>
      <c r="AC230" s="113">
        <f t="shared" si="70"/>
        <v>220600.51066666664</v>
      </c>
      <c r="AD230" s="166"/>
      <c r="AE230" s="160">
        <f t="shared" si="86"/>
        <v>2.78125</v>
      </c>
      <c r="AF230" s="169">
        <f t="shared" si="87"/>
        <v>2.2922966798835615E-2</v>
      </c>
      <c r="AG230" s="171">
        <f t="shared" si="88"/>
        <v>28.23686536533333</v>
      </c>
      <c r="AH230" s="160">
        <v>128</v>
      </c>
      <c r="AI230" s="160">
        <v>275.75063833333331</v>
      </c>
      <c r="AJ230" s="160">
        <v>800</v>
      </c>
      <c r="AK230" s="160">
        <v>550</v>
      </c>
      <c r="AL230" s="171">
        <f t="shared" si="89"/>
        <v>121.33028086666666</v>
      </c>
      <c r="AM230" s="171">
        <f t="shared" si="90"/>
        <v>44.843671808319996</v>
      </c>
      <c r="AN230" s="172">
        <f t="shared" si="91"/>
        <v>151662.85108333331</v>
      </c>
      <c r="AO230" s="172">
        <f t="shared" si="92"/>
        <v>35296.081706666664</v>
      </c>
      <c r="AP230" s="173">
        <f t="shared" si="93"/>
        <v>1</v>
      </c>
      <c r="AQ230" s="243">
        <f t="shared" si="94"/>
        <v>3.9115942228478717</v>
      </c>
      <c r="AR230" s="18" t="s">
        <v>783</v>
      </c>
    </row>
    <row r="231" spans="1:123" s="120" customFormat="1">
      <c r="A231" s="249" t="s">
        <v>429</v>
      </c>
      <c r="B231" s="196" t="s">
        <v>407</v>
      </c>
      <c r="C231" s="197" t="s">
        <v>328</v>
      </c>
      <c r="D231" s="198">
        <v>1</v>
      </c>
      <c r="E231" s="199" t="s">
        <v>740</v>
      </c>
      <c r="F231" s="200"/>
      <c r="G231" s="201" t="s">
        <v>753</v>
      </c>
      <c r="H231" s="200"/>
      <c r="I231" s="200"/>
      <c r="J231" s="202">
        <v>180</v>
      </c>
      <c r="K231" s="203" t="s">
        <v>53</v>
      </c>
      <c r="L231" s="203" t="s">
        <v>54</v>
      </c>
      <c r="M231" s="202" t="s">
        <v>568</v>
      </c>
      <c r="N231" s="233" t="s">
        <v>836</v>
      </c>
      <c r="O231" s="203" t="s">
        <v>760</v>
      </c>
      <c r="P231" s="204">
        <v>0</v>
      </c>
      <c r="Q231" s="205" t="s">
        <v>73</v>
      </c>
      <c r="R231" s="205" t="s">
        <v>26</v>
      </c>
      <c r="S231" s="202">
        <v>2029</v>
      </c>
      <c r="T231" s="206">
        <v>47483</v>
      </c>
      <c r="U231" s="207">
        <v>0.438</v>
      </c>
      <c r="V231" s="207">
        <v>0.27</v>
      </c>
      <c r="W231" s="208">
        <f t="shared" si="85"/>
        <v>0.70799999999999996</v>
      </c>
      <c r="X231" s="207">
        <v>0.05</v>
      </c>
      <c r="Y231" s="207">
        <v>9.0000000000000011E-2</v>
      </c>
      <c r="Z231" s="207">
        <v>6.8000000000000005E-2</v>
      </c>
      <c r="AA231" s="209">
        <v>0.19800000000000001</v>
      </c>
      <c r="AB231" s="207">
        <v>0.29200000000000004</v>
      </c>
      <c r="AC231" s="113">
        <f t="shared" si="70"/>
        <v>202246.8762222222</v>
      </c>
      <c r="AD231" s="206"/>
      <c r="AE231" s="200">
        <f t="shared" si="86"/>
        <v>0</v>
      </c>
      <c r="AF231" s="209">
        <f t="shared" si="87"/>
        <v>0</v>
      </c>
      <c r="AG231" s="210">
        <f t="shared" si="88"/>
        <v>44.494312768888889</v>
      </c>
      <c r="AH231" s="200">
        <v>220</v>
      </c>
      <c r="AI231" s="200">
        <v>439.66712222222219</v>
      </c>
      <c r="AJ231" s="200">
        <v>460</v>
      </c>
      <c r="AK231" s="200">
        <v>900</v>
      </c>
      <c r="AL231" s="210">
        <f t="shared" si="89"/>
        <v>182.02218859999999</v>
      </c>
      <c r="AM231" s="210">
        <f t="shared" si="90"/>
        <v>79.725718606800001</v>
      </c>
      <c r="AN231" s="211">
        <f t="shared" si="91"/>
        <v>395700.41</v>
      </c>
      <c r="AO231" s="211">
        <f t="shared" si="92"/>
        <v>96726.766888888887</v>
      </c>
      <c r="AP231" s="212">
        <f t="shared" si="93"/>
        <v>0.73</v>
      </c>
      <c r="AQ231" s="244">
        <f t="shared" si="94"/>
        <v>2.9863636363636359</v>
      </c>
      <c r="AR231" s="131" t="s">
        <v>783</v>
      </c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</row>
    <row r="232" spans="1:123" s="18" customFormat="1">
      <c r="A232" s="250" t="s">
        <v>429</v>
      </c>
      <c r="B232" s="156" t="s">
        <v>408</v>
      </c>
      <c r="C232" s="157" t="s">
        <v>328</v>
      </c>
      <c r="D232" s="158">
        <v>1</v>
      </c>
      <c r="E232" s="159" t="s">
        <v>740</v>
      </c>
      <c r="F232" s="160"/>
      <c r="G232" s="161" t="s">
        <v>753</v>
      </c>
      <c r="H232" s="160"/>
      <c r="I232" s="160"/>
      <c r="J232" s="162">
        <v>181</v>
      </c>
      <c r="K232" s="163" t="s">
        <v>53</v>
      </c>
      <c r="L232" s="163" t="s">
        <v>54</v>
      </c>
      <c r="M232" s="162" t="s">
        <v>568</v>
      </c>
      <c r="N232" s="192" t="s">
        <v>837</v>
      </c>
      <c r="O232" s="163" t="s">
        <v>760</v>
      </c>
      <c r="P232" s="164">
        <v>0</v>
      </c>
      <c r="Q232" s="165" t="s">
        <v>73</v>
      </c>
      <c r="R232" s="165" t="s">
        <v>26</v>
      </c>
      <c r="S232" s="162">
        <v>2029</v>
      </c>
      <c r="T232" s="166">
        <v>47483</v>
      </c>
      <c r="U232" s="167">
        <v>0.438</v>
      </c>
      <c r="V232" s="167">
        <v>0.27</v>
      </c>
      <c r="W232" s="168">
        <f t="shared" si="85"/>
        <v>0.70799999999999996</v>
      </c>
      <c r="X232" s="167">
        <v>0.05</v>
      </c>
      <c r="Y232" s="167">
        <v>9.0000000000000011E-2</v>
      </c>
      <c r="Z232" s="167">
        <v>6.8000000000000005E-2</v>
      </c>
      <c r="AA232" s="169">
        <v>0.19800000000000001</v>
      </c>
      <c r="AB232" s="167">
        <v>0.29200000000000004</v>
      </c>
      <c r="AC232" s="113">
        <f t="shared" si="70"/>
        <v>202246.8762222222</v>
      </c>
      <c r="AD232" s="166"/>
      <c r="AE232" s="160">
        <f t="shared" si="86"/>
        <v>0</v>
      </c>
      <c r="AF232" s="169">
        <f t="shared" si="87"/>
        <v>0</v>
      </c>
      <c r="AG232" s="171">
        <f t="shared" si="88"/>
        <v>44.494312768888889</v>
      </c>
      <c r="AH232" s="160">
        <v>220</v>
      </c>
      <c r="AI232" s="160">
        <v>439.66712222222219</v>
      </c>
      <c r="AJ232" s="160">
        <v>460</v>
      </c>
      <c r="AK232" s="160">
        <v>900</v>
      </c>
      <c r="AL232" s="171">
        <f t="shared" si="89"/>
        <v>182.02218859999999</v>
      </c>
      <c r="AM232" s="171">
        <f t="shared" si="90"/>
        <v>79.725718606800001</v>
      </c>
      <c r="AN232" s="172">
        <f t="shared" si="91"/>
        <v>395700.41</v>
      </c>
      <c r="AO232" s="172">
        <f t="shared" si="92"/>
        <v>96726.766888888887</v>
      </c>
      <c r="AP232" s="173">
        <f t="shared" si="93"/>
        <v>0.73</v>
      </c>
      <c r="AQ232" s="243">
        <f t="shared" si="94"/>
        <v>2.9863636363636359</v>
      </c>
      <c r="AR232" s="18" t="s">
        <v>783</v>
      </c>
    </row>
    <row r="233" spans="1:123" s="120" customFormat="1">
      <c r="A233" s="249" t="s">
        <v>426</v>
      </c>
      <c r="B233" s="196" t="s">
        <v>200</v>
      </c>
      <c r="C233" s="197" t="s">
        <v>324</v>
      </c>
      <c r="D233" s="198">
        <v>1</v>
      </c>
      <c r="E233" s="199" t="s">
        <v>740</v>
      </c>
      <c r="F233" s="200"/>
      <c r="G233" s="201">
        <v>2123</v>
      </c>
      <c r="H233" s="200"/>
      <c r="I233" s="200"/>
      <c r="J233" s="202">
        <v>156</v>
      </c>
      <c r="K233" s="203" t="s">
        <v>22</v>
      </c>
      <c r="L233" s="203" t="s">
        <v>44</v>
      </c>
      <c r="M233" s="202" t="s">
        <v>567</v>
      </c>
      <c r="N233" s="233" t="s">
        <v>48</v>
      </c>
      <c r="O233" s="203" t="s">
        <v>756</v>
      </c>
      <c r="P233" s="204">
        <v>114285.71</v>
      </c>
      <c r="Q233" s="205" t="s">
        <v>25</v>
      </c>
      <c r="R233" s="205" t="s">
        <v>759</v>
      </c>
      <c r="S233" s="202">
        <v>2034</v>
      </c>
      <c r="T233" s="206">
        <v>49309</v>
      </c>
      <c r="U233" s="207">
        <v>1</v>
      </c>
      <c r="V233" s="207"/>
      <c r="W233" s="208">
        <f t="shared" si="85"/>
        <v>1</v>
      </c>
      <c r="X233" s="207"/>
      <c r="Y233" s="207"/>
      <c r="Z233" s="207"/>
      <c r="AA233" s="209">
        <v>0.19800000000000001</v>
      </c>
      <c r="AB233" s="207"/>
      <c r="AC233" s="113">
        <f t="shared" si="70"/>
        <v>105000</v>
      </c>
      <c r="AD233" s="206"/>
      <c r="AE233" s="200">
        <f t="shared" si="86"/>
        <v>0.11428571000000001</v>
      </c>
      <c r="AF233" s="209">
        <f t="shared" si="87"/>
        <v>2.7908598290598292E-3</v>
      </c>
      <c r="AG233" s="210">
        <f t="shared" si="88"/>
        <v>13.9755</v>
      </c>
      <c r="AH233" s="200">
        <v>133.1</v>
      </c>
      <c r="AI233" s="200">
        <v>210</v>
      </c>
      <c r="AJ233" s="200">
        <v>500</v>
      </c>
      <c r="AK233" s="200">
        <v>390</v>
      </c>
      <c r="AL233" s="210">
        <f t="shared" si="89"/>
        <v>40.950000000000003</v>
      </c>
      <c r="AM233" s="210">
        <f t="shared" si="90"/>
        <v>40.950000000000003</v>
      </c>
      <c r="AN233" s="211">
        <f t="shared" si="91"/>
        <v>81900</v>
      </c>
      <c r="AO233" s="211">
        <f t="shared" si="92"/>
        <v>27951</v>
      </c>
      <c r="AP233" s="212">
        <f t="shared" si="93"/>
        <v>1</v>
      </c>
      <c r="AQ233" s="244">
        <f t="shared" si="94"/>
        <v>2.9063607383990511</v>
      </c>
      <c r="AR233" s="131" t="s">
        <v>783</v>
      </c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</row>
    <row r="234" spans="1:123">
      <c r="A234" s="248" t="s">
        <v>867</v>
      </c>
      <c r="B234" s="20" t="s">
        <v>848</v>
      </c>
      <c r="D234" s="22">
        <v>1</v>
      </c>
      <c r="E234" s="16" t="s">
        <v>740</v>
      </c>
      <c r="G234" s="24">
        <v>2387</v>
      </c>
      <c r="K234" s="20" t="s">
        <v>143</v>
      </c>
      <c r="L234" s="15" t="s">
        <v>148</v>
      </c>
      <c r="M234" s="18" t="s">
        <v>575</v>
      </c>
      <c r="N234" s="15" t="s">
        <v>850</v>
      </c>
      <c r="O234" s="176" t="s">
        <v>757</v>
      </c>
      <c r="P234" s="149">
        <v>2215500</v>
      </c>
      <c r="Q234" s="18" t="s">
        <v>25</v>
      </c>
      <c r="R234" s="18" t="s">
        <v>26</v>
      </c>
      <c r="S234" s="18">
        <v>2027</v>
      </c>
      <c r="T234" s="179">
        <v>46568</v>
      </c>
      <c r="U234" s="180">
        <v>0.55600000000000005</v>
      </c>
      <c r="V234" s="180">
        <v>0.30499999999999999</v>
      </c>
      <c r="W234" s="181">
        <f t="shared" si="85"/>
        <v>0.86099999999999999</v>
      </c>
      <c r="X234" s="180">
        <v>7.0000000000000007E-2</v>
      </c>
      <c r="Y234" s="180">
        <v>0</v>
      </c>
      <c r="Z234" s="180">
        <v>6.8000000000000005E-2</v>
      </c>
      <c r="AA234" s="182">
        <v>0.19800000000000001</v>
      </c>
      <c r="AB234" s="180">
        <v>0.13900000000000001</v>
      </c>
      <c r="AC234" s="113">
        <f t="shared" si="70"/>
        <v>51400</v>
      </c>
      <c r="AD234" s="179"/>
      <c r="AE234" s="183">
        <f t="shared" si="86"/>
        <v>2.2155</v>
      </c>
      <c r="AF234" s="182">
        <f t="shared" si="87"/>
        <v>5.387889105058366E-2</v>
      </c>
      <c r="AG234" s="234">
        <f t="shared" si="88"/>
        <v>8.9949999999999992</v>
      </c>
      <c r="AH234" s="183">
        <v>175</v>
      </c>
      <c r="AI234" s="183">
        <v>257</v>
      </c>
      <c r="AJ234" s="183">
        <v>200</v>
      </c>
      <c r="AK234" s="183">
        <v>800</v>
      </c>
      <c r="AL234" s="235">
        <f t="shared" si="89"/>
        <v>41.12</v>
      </c>
      <c r="AM234" s="184">
        <f t="shared" si="90"/>
        <v>22.862719999999999</v>
      </c>
      <c r="AN234" s="151">
        <f t="shared" si="91"/>
        <v>205600</v>
      </c>
      <c r="AO234" s="151">
        <f t="shared" si="92"/>
        <v>44975</v>
      </c>
      <c r="AP234" s="152">
        <f t="shared" si="93"/>
        <v>0.69500000000000006</v>
      </c>
      <c r="AQ234" s="153">
        <f>AL234*AP234/(AG234+AE234)</f>
        <v>2.5492529325186211</v>
      </c>
      <c r="AR234" s="185" t="s">
        <v>783</v>
      </c>
    </row>
    <row r="235" spans="1:123" s="120" customFormat="1">
      <c r="A235" s="247" t="s">
        <v>868</v>
      </c>
      <c r="B235" s="130" t="s">
        <v>849</v>
      </c>
      <c r="D235" s="33">
        <v>1</v>
      </c>
      <c r="E235" s="134" t="s">
        <v>740</v>
      </c>
      <c r="G235" s="36">
        <v>2387</v>
      </c>
      <c r="K235" s="130" t="s">
        <v>143</v>
      </c>
      <c r="L235" s="120" t="s">
        <v>148</v>
      </c>
      <c r="M235" s="131" t="s">
        <v>575</v>
      </c>
      <c r="N235" s="120" t="s">
        <v>851</v>
      </c>
      <c r="O235" s="105" t="s">
        <v>757</v>
      </c>
      <c r="P235" s="107">
        <v>2215500</v>
      </c>
      <c r="Q235" s="131" t="s">
        <v>73</v>
      </c>
      <c r="R235" s="131" t="s">
        <v>26</v>
      </c>
      <c r="S235" s="131">
        <v>2027</v>
      </c>
      <c r="T235" s="109">
        <v>46568</v>
      </c>
      <c r="U235" s="110">
        <v>0.55600000000000005</v>
      </c>
      <c r="V235" s="110">
        <v>0.30499999999999994</v>
      </c>
      <c r="W235" s="111">
        <f t="shared" si="85"/>
        <v>0.86099999999999999</v>
      </c>
      <c r="X235" s="110">
        <v>7.0000000000000007E-2</v>
      </c>
      <c r="Y235" s="110">
        <v>0</v>
      </c>
      <c r="Z235" s="110">
        <v>6.8000000000000005E-2</v>
      </c>
      <c r="AA235" s="112">
        <v>0.19800000000000001</v>
      </c>
      <c r="AB235" s="110">
        <v>0.13900000000000001</v>
      </c>
      <c r="AC235" s="113">
        <f t="shared" si="70"/>
        <v>107580</v>
      </c>
      <c r="AD235" s="109"/>
      <c r="AE235" s="114">
        <f t="shared" si="86"/>
        <v>2.2155</v>
      </c>
      <c r="AF235" s="112">
        <f t="shared" si="87"/>
        <v>1.3729317717047778E-2</v>
      </c>
      <c r="AG235" s="238">
        <f t="shared" si="88"/>
        <v>37.652999999999999</v>
      </c>
      <c r="AH235" s="114">
        <v>350</v>
      </c>
      <c r="AI235" s="114">
        <v>326</v>
      </c>
      <c r="AJ235" s="114">
        <v>330</v>
      </c>
      <c r="AK235" s="114">
        <v>1500</v>
      </c>
      <c r="AL235" s="239">
        <f>(AK235*AJ235*AI235)/10^6</f>
        <v>161.37</v>
      </c>
      <c r="AM235" s="115">
        <f t="shared" ref="AM235:AM240" si="95">AL235*U235</f>
        <v>89.721720000000005</v>
      </c>
      <c r="AN235" s="116">
        <f t="shared" ref="AN235:AN240" si="96">AI235*AK235</f>
        <v>489000</v>
      </c>
      <c r="AO235" s="116">
        <f t="shared" ref="AO235:AO240" si="97">AH235*AI235</f>
        <v>114100</v>
      </c>
      <c r="AP235" s="117">
        <f t="shared" ref="AP235:AP240" si="98">U235+AB235</f>
        <v>0.69500000000000006</v>
      </c>
      <c r="AQ235" s="118">
        <f>AL235*AP235/(AG235+AE235)</f>
        <v>2.8130516573234514</v>
      </c>
      <c r="AR235" s="119" t="s">
        <v>783</v>
      </c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</row>
    <row r="236" spans="1:123">
      <c r="A236" s="248" t="s">
        <v>866</v>
      </c>
      <c r="B236" s="20" t="s">
        <v>861</v>
      </c>
      <c r="D236" s="18" t="s">
        <v>705</v>
      </c>
      <c r="E236" s="16" t="s">
        <v>739</v>
      </c>
      <c r="G236" s="18" t="s">
        <v>26</v>
      </c>
      <c r="K236" s="20" t="s">
        <v>103</v>
      </c>
      <c r="L236" s="15" t="s">
        <v>860</v>
      </c>
      <c r="M236" s="18" t="s">
        <v>573</v>
      </c>
      <c r="N236" s="15" t="s">
        <v>861</v>
      </c>
      <c r="O236" s="15" t="s">
        <v>760</v>
      </c>
      <c r="P236" s="15" t="s">
        <v>26</v>
      </c>
      <c r="Q236" s="18" t="s">
        <v>73</v>
      </c>
      <c r="R236" s="18" t="s">
        <v>26</v>
      </c>
      <c r="S236" s="18" t="s">
        <v>26</v>
      </c>
      <c r="T236" s="179" t="s">
        <v>26</v>
      </c>
      <c r="U236" s="180">
        <v>0.5</v>
      </c>
      <c r="V236" s="180">
        <v>0.5</v>
      </c>
      <c r="W236" s="242">
        <f t="shared" si="85"/>
        <v>1</v>
      </c>
      <c r="X236" s="180"/>
      <c r="Y236" s="180"/>
      <c r="Z236" s="180"/>
      <c r="AA236" s="242"/>
      <c r="AB236" s="180"/>
      <c r="AC236" s="150">
        <f t="shared" si="70"/>
        <v>141494</v>
      </c>
      <c r="AD236" s="179"/>
      <c r="AE236" s="183"/>
      <c r="AF236" s="182">
        <f t="shared" si="87"/>
        <v>0</v>
      </c>
      <c r="AG236" s="234">
        <f t="shared" si="88"/>
        <v>45.278080000000003</v>
      </c>
      <c r="AH236" s="183">
        <v>320</v>
      </c>
      <c r="AI236" s="183">
        <v>526</v>
      </c>
      <c r="AJ236" s="183">
        <v>269</v>
      </c>
      <c r="AK236" s="183">
        <v>1300</v>
      </c>
      <c r="AL236" s="235">
        <f t="shared" ref="AL236:AL240" si="99">(AK236*AJ236*AI236)/10^6</f>
        <v>183.94220000000001</v>
      </c>
      <c r="AM236" s="184">
        <f t="shared" si="95"/>
        <v>91.971100000000007</v>
      </c>
      <c r="AN236" s="151">
        <f t="shared" si="96"/>
        <v>683800</v>
      </c>
      <c r="AO236" s="151">
        <f t="shared" si="97"/>
        <v>168320</v>
      </c>
      <c r="AP236" s="152">
        <f t="shared" si="98"/>
        <v>0.5</v>
      </c>
      <c r="AQ236" s="153">
        <f t="shared" ref="AQ236:AQ240" si="100">AL236*AP236/(AG236+AE236)</f>
        <v>2.03125</v>
      </c>
      <c r="AR236" s="185" t="s">
        <v>783</v>
      </c>
    </row>
    <row r="237" spans="1:123" s="120" customFormat="1">
      <c r="A237" s="247" t="s">
        <v>866</v>
      </c>
      <c r="B237" s="130" t="s">
        <v>862</v>
      </c>
      <c r="D237" s="131" t="s">
        <v>705</v>
      </c>
      <c r="E237" s="134" t="s">
        <v>739</v>
      </c>
      <c r="G237" s="131" t="s">
        <v>26</v>
      </c>
      <c r="K237" s="130" t="s">
        <v>103</v>
      </c>
      <c r="L237" s="120" t="s">
        <v>860</v>
      </c>
      <c r="M237" s="131" t="s">
        <v>573</v>
      </c>
      <c r="N237" s="120" t="s">
        <v>862</v>
      </c>
      <c r="O237" s="120" t="s">
        <v>760</v>
      </c>
      <c r="P237" s="120" t="s">
        <v>26</v>
      </c>
      <c r="Q237" s="131" t="s">
        <v>73</v>
      </c>
      <c r="R237" s="131" t="s">
        <v>26</v>
      </c>
      <c r="S237" s="131" t="s">
        <v>26</v>
      </c>
      <c r="T237" s="109" t="s">
        <v>26</v>
      </c>
      <c r="U237" s="110">
        <v>0.5</v>
      </c>
      <c r="V237" s="110">
        <v>0.5</v>
      </c>
      <c r="W237" s="259">
        <f t="shared" si="85"/>
        <v>1</v>
      </c>
      <c r="X237" s="110"/>
      <c r="Y237" s="110"/>
      <c r="Z237" s="110"/>
      <c r="AA237" s="259"/>
      <c r="AB237" s="110"/>
      <c r="AC237" s="113">
        <f t="shared" si="70"/>
        <v>138338</v>
      </c>
      <c r="AD237" s="109"/>
      <c r="AE237" s="114"/>
      <c r="AF237" s="112">
        <f t="shared" si="87"/>
        <v>0</v>
      </c>
      <c r="AG237" s="238">
        <f t="shared" si="88"/>
        <v>44.268160000000002</v>
      </c>
      <c r="AH237" s="114">
        <v>320</v>
      </c>
      <c r="AI237" s="114">
        <v>526</v>
      </c>
      <c r="AJ237" s="114">
        <v>263</v>
      </c>
      <c r="AK237" s="114">
        <v>1300</v>
      </c>
      <c r="AL237" s="239">
        <f t="shared" si="99"/>
        <v>179.83940000000001</v>
      </c>
      <c r="AM237" s="115">
        <f t="shared" si="95"/>
        <v>89.919700000000006</v>
      </c>
      <c r="AN237" s="116">
        <f t="shared" si="96"/>
        <v>683800</v>
      </c>
      <c r="AO237" s="116">
        <f t="shared" si="97"/>
        <v>168320</v>
      </c>
      <c r="AP237" s="117">
        <f t="shared" si="98"/>
        <v>0.5</v>
      </c>
      <c r="AQ237" s="118">
        <f t="shared" si="100"/>
        <v>2.03125</v>
      </c>
      <c r="AR237" s="119" t="s">
        <v>783</v>
      </c>
    </row>
    <row r="238" spans="1:123">
      <c r="A238" s="248" t="s">
        <v>866</v>
      </c>
      <c r="B238" s="20" t="s">
        <v>863</v>
      </c>
      <c r="D238" s="18" t="s">
        <v>705</v>
      </c>
      <c r="E238" s="16" t="s">
        <v>739</v>
      </c>
      <c r="G238" s="18" t="s">
        <v>26</v>
      </c>
      <c r="K238" s="20" t="s">
        <v>103</v>
      </c>
      <c r="L238" s="15" t="s">
        <v>860</v>
      </c>
      <c r="M238" s="18" t="s">
        <v>573</v>
      </c>
      <c r="N238" s="15" t="s">
        <v>863</v>
      </c>
      <c r="O238" s="15" t="s">
        <v>760</v>
      </c>
      <c r="P238" s="15" t="s">
        <v>26</v>
      </c>
      <c r="Q238" s="18" t="s">
        <v>73</v>
      </c>
      <c r="R238" s="18" t="s">
        <v>26</v>
      </c>
      <c r="S238" s="18" t="s">
        <v>26</v>
      </c>
      <c r="T238" s="179" t="s">
        <v>26</v>
      </c>
      <c r="U238" s="180">
        <v>0.5</v>
      </c>
      <c r="V238" s="180">
        <v>0.5</v>
      </c>
      <c r="W238" s="242">
        <f t="shared" si="85"/>
        <v>1</v>
      </c>
      <c r="X238" s="180"/>
      <c r="Y238" s="180"/>
      <c r="Z238" s="180"/>
      <c r="AA238" s="242"/>
      <c r="AB238" s="180"/>
      <c r="AC238" s="150">
        <f t="shared" si="70"/>
        <v>89946</v>
      </c>
      <c r="AD238" s="179"/>
      <c r="AE238" s="183"/>
      <c r="AF238" s="182">
        <f t="shared" si="87"/>
        <v>0</v>
      </c>
      <c r="AG238" s="234">
        <f t="shared" si="88"/>
        <v>28.782720000000001</v>
      </c>
      <c r="AH238" s="183">
        <v>320</v>
      </c>
      <c r="AI238" s="183">
        <v>526</v>
      </c>
      <c r="AJ238" s="183">
        <v>171</v>
      </c>
      <c r="AK238" s="183">
        <v>1300</v>
      </c>
      <c r="AL238" s="235">
        <f t="shared" si="99"/>
        <v>116.9298</v>
      </c>
      <c r="AM238" s="184">
        <f t="shared" si="95"/>
        <v>58.4649</v>
      </c>
      <c r="AN238" s="151">
        <f t="shared" si="96"/>
        <v>683800</v>
      </c>
      <c r="AO238" s="151">
        <f t="shared" si="97"/>
        <v>168320</v>
      </c>
      <c r="AP238" s="152">
        <f t="shared" si="98"/>
        <v>0.5</v>
      </c>
      <c r="AQ238" s="153">
        <f t="shared" si="100"/>
        <v>2.03125</v>
      </c>
      <c r="AR238" s="185" t="s">
        <v>783</v>
      </c>
    </row>
    <row r="239" spans="1:123" s="120" customFormat="1">
      <c r="A239" s="247" t="s">
        <v>866</v>
      </c>
      <c r="B239" s="130" t="s">
        <v>864</v>
      </c>
      <c r="D239" s="131" t="s">
        <v>705</v>
      </c>
      <c r="E239" s="134" t="s">
        <v>739</v>
      </c>
      <c r="G239" s="131" t="s">
        <v>26</v>
      </c>
      <c r="K239" s="130" t="s">
        <v>103</v>
      </c>
      <c r="L239" s="120" t="s">
        <v>860</v>
      </c>
      <c r="M239" s="131" t="s">
        <v>573</v>
      </c>
      <c r="N239" s="120" t="s">
        <v>864</v>
      </c>
      <c r="O239" s="120" t="s">
        <v>760</v>
      </c>
      <c r="P239" s="120" t="s">
        <v>26</v>
      </c>
      <c r="Q239" s="131" t="s">
        <v>73</v>
      </c>
      <c r="R239" s="131" t="s">
        <v>26</v>
      </c>
      <c r="S239" s="131" t="s">
        <v>26</v>
      </c>
      <c r="T239" s="109" t="s">
        <v>26</v>
      </c>
      <c r="U239" s="110">
        <v>0.5</v>
      </c>
      <c r="V239" s="110">
        <v>0.5</v>
      </c>
      <c r="W239" s="259">
        <f t="shared" si="85"/>
        <v>1</v>
      </c>
      <c r="X239" s="110"/>
      <c r="Y239" s="110"/>
      <c r="Z239" s="110"/>
      <c r="AA239" s="259"/>
      <c r="AB239" s="110"/>
      <c r="AC239" s="113">
        <f t="shared" si="70"/>
        <v>68906</v>
      </c>
      <c r="AD239" s="109"/>
      <c r="AE239" s="114"/>
      <c r="AF239" s="112">
        <f t="shared" si="87"/>
        <v>0</v>
      </c>
      <c r="AG239" s="238">
        <f t="shared" si="88"/>
        <v>22.04992</v>
      </c>
      <c r="AH239" s="114">
        <v>320</v>
      </c>
      <c r="AI239" s="114">
        <v>526</v>
      </c>
      <c r="AJ239" s="114">
        <v>131</v>
      </c>
      <c r="AK239" s="114">
        <v>1300</v>
      </c>
      <c r="AL239" s="239">
        <f t="shared" si="99"/>
        <v>89.577799999999996</v>
      </c>
      <c r="AM239" s="115">
        <f t="shared" si="95"/>
        <v>44.788899999999998</v>
      </c>
      <c r="AN239" s="116">
        <f t="shared" si="96"/>
        <v>683800</v>
      </c>
      <c r="AO239" s="116">
        <f t="shared" si="97"/>
        <v>168320</v>
      </c>
      <c r="AP239" s="117">
        <f t="shared" si="98"/>
        <v>0.5</v>
      </c>
      <c r="AQ239" s="118">
        <f t="shared" si="100"/>
        <v>2.03125</v>
      </c>
      <c r="AR239" s="119" t="s">
        <v>783</v>
      </c>
    </row>
    <row r="240" spans="1:123">
      <c r="A240" s="248" t="s">
        <v>866</v>
      </c>
      <c r="B240" s="20" t="s">
        <v>865</v>
      </c>
      <c r="D240" s="18" t="s">
        <v>705</v>
      </c>
      <c r="E240" s="16" t="s">
        <v>739</v>
      </c>
      <c r="G240" s="18" t="s">
        <v>26</v>
      </c>
      <c r="K240" s="20" t="s">
        <v>103</v>
      </c>
      <c r="L240" s="15" t="s">
        <v>860</v>
      </c>
      <c r="M240" s="18" t="s">
        <v>573</v>
      </c>
      <c r="N240" s="15" t="s">
        <v>865</v>
      </c>
      <c r="O240" s="15" t="s">
        <v>760</v>
      </c>
      <c r="P240" s="15" t="s">
        <v>26</v>
      </c>
      <c r="Q240" s="18" t="s">
        <v>73</v>
      </c>
      <c r="R240" s="18" t="s">
        <v>26</v>
      </c>
      <c r="S240" s="18" t="s">
        <v>26</v>
      </c>
      <c r="T240" s="179" t="s">
        <v>26</v>
      </c>
      <c r="U240" s="180">
        <v>0.5</v>
      </c>
      <c r="V240" s="180">
        <v>0.5</v>
      </c>
      <c r="W240" s="242">
        <f t="shared" si="85"/>
        <v>1</v>
      </c>
      <c r="X240" s="180"/>
      <c r="Y240" s="180"/>
      <c r="Z240" s="180"/>
      <c r="AA240" s="242"/>
      <c r="AB240" s="180"/>
      <c r="AC240" s="150">
        <f t="shared" si="70"/>
        <v>107830</v>
      </c>
      <c r="AD240" s="179"/>
      <c r="AE240" s="183"/>
      <c r="AF240" s="182">
        <f t="shared" si="87"/>
        <v>0</v>
      </c>
      <c r="AG240" s="234">
        <f t="shared" si="88"/>
        <v>34.505600000000001</v>
      </c>
      <c r="AH240" s="183">
        <v>320</v>
      </c>
      <c r="AI240" s="183">
        <v>526</v>
      </c>
      <c r="AJ240" s="183">
        <v>205</v>
      </c>
      <c r="AK240" s="183">
        <v>1300</v>
      </c>
      <c r="AL240" s="235">
        <f t="shared" si="99"/>
        <v>140.179</v>
      </c>
      <c r="AM240" s="184">
        <f t="shared" si="95"/>
        <v>70.089500000000001</v>
      </c>
      <c r="AN240" s="151">
        <f t="shared" si="96"/>
        <v>683800</v>
      </c>
      <c r="AO240" s="151">
        <f t="shared" si="97"/>
        <v>168320</v>
      </c>
      <c r="AP240" s="152">
        <f t="shared" si="98"/>
        <v>0.5</v>
      </c>
      <c r="AQ240" s="153">
        <f t="shared" si="100"/>
        <v>2.03125</v>
      </c>
      <c r="AR240" s="185" t="s">
        <v>783</v>
      </c>
    </row>
    <row r="241" spans="1:44" s="120" customFormat="1">
      <c r="A241" s="120" t="s">
        <v>871</v>
      </c>
      <c r="B241" s="120" t="s">
        <v>869</v>
      </c>
      <c r="D241" s="131" t="s">
        <v>705</v>
      </c>
      <c r="E241" s="134" t="s">
        <v>739</v>
      </c>
      <c r="G241" s="131"/>
      <c r="K241" s="130" t="s">
        <v>103</v>
      </c>
      <c r="L241" s="120" t="s">
        <v>132</v>
      </c>
      <c r="M241" s="131" t="s">
        <v>583</v>
      </c>
      <c r="N241" s="120" t="s">
        <v>869</v>
      </c>
      <c r="O241" s="120" t="s">
        <v>760</v>
      </c>
      <c r="Q241" s="131" t="s">
        <v>25</v>
      </c>
      <c r="R241" s="18" t="s">
        <v>26</v>
      </c>
      <c r="S241" s="18" t="s">
        <v>26</v>
      </c>
      <c r="T241" s="179" t="s">
        <v>26</v>
      </c>
      <c r="U241" s="180">
        <v>0.7</v>
      </c>
      <c r="V241" s="180">
        <v>0.3</v>
      </c>
      <c r="W241" s="242">
        <f t="shared" ref="W241:W242" si="101">SUM(U241:V241)</f>
        <v>1</v>
      </c>
      <c r="X241" s="180"/>
      <c r="Y241" s="180"/>
      <c r="Z241" s="180"/>
      <c r="AA241" s="242"/>
      <c r="AB241" s="180"/>
      <c r="AC241" s="150">
        <f t="shared" ref="AC241:AC242" si="102">AI241*AJ241</f>
        <v>410400</v>
      </c>
      <c r="AD241" s="179"/>
      <c r="AE241" s="183"/>
      <c r="AF241" s="182">
        <f t="shared" ref="AF241:AF242" si="103">IF(AL241=0,0,AE241/AL241)</f>
        <v>0</v>
      </c>
      <c r="AG241" s="234">
        <f t="shared" ref="AG241:AG242" si="104">(AH241*AI241*AJ241)/10^6</f>
        <v>71.819999999999993</v>
      </c>
      <c r="AH241" s="183">
        <v>175</v>
      </c>
      <c r="AI241" s="183">
        <v>300</v>
      </c>
      <c r="AJ241" s="183">
        <v>1368</v>
      </c>
      <c r="AK241" s="183">
        <v>700</v>
      </c>
      <c r="AL241" s="235">
        <f t="shared" ref="AL241:AL242" si="105">(AK241*AJ241*AI241)/10^6</f>
        <v>287.27999999999997</v>
      </c>
      <c r="AM241" s="184">
        <f t="shared" ref="AM241:AM242" si="106">AL241*U241</f>
        <v>201.09599999999998</v>
      </c>
      <c r="AN241" s="151">
        <f t="shared" ref="AN241:AN242" si="107">AI241*AK241</f>
        <v>210000</v>
      </c>
      <c r="AO241" s="151">
        <f t="shared" ref="AO241:AO242" si="108">AH241*AI241</f>
        <v>52500</v>
      </c>
      <c r="AP241" s="152">
        <f t="shared" ref="AP241:AP242" si="109">U241+AB241</f>
        <v>0.7</v>
      </c>
      <c r="AQ241" s="153">
        <f t="shared" ref="AQ241:AQ242" si="110">AL241*AP241/(AG241+AE241)</f>
        <v>2.8</v>
      </c>
      <c r="AR241" s="185" t="s">
        <v>783</v>
      </c>
    </row>
    <row r="242" spans="1:44">
      <c r="A242" s="15" t="s">
        <v>871</v>
      </c>
      <c r="B242" s="15" t="s">
        <v>870</v>
      </c>
      <c r="D242" s="18" t="s">
        <v>705</v>
      </c>
      <c r="E242" s="16" t="s">
        <v>739</v>
      </c>
      <c r="K242" s="20" t="s">
        <v>103</v>
      </c>
      <c r="L242" s="15" t="s">
        <v>132</v>
      </c>
      <c r="M242" s="18" t="s">
        <v>583</v>
      </c>
      <c r="N242" s="15" t="s">
        <v>870</v>
      </c>
      <c r="O242" s="15" t="s">
        <v>760</v>
      </c>
      <c r="Q242" s="18" t="s">
        <v>25</v>
      </c>
      <c r="R242" s="18" t="s">
        <v>26</v>
      </c>
      <c r="S242" s="18" t="s">
        <v>26</v>
      </c>
      <c r="T242" s="179" t="s">
        <v>26</v>
      </c>
      <c r="U242" s="180">
        <v>0.7</v>
      </c>
      <c r="V242" s="180">
        <v>0.3</v>
      </c>
      <c r="W242" s="242">
        <f t="shared" si="101"/>
        <v>1</v>
      </c>
      <c r="X242" s="180"/>
      <c r="Y242" s="180"/>
      <c r="Z242" s="180"/>
      <c r="AA242" s="242"/>
      <c r="AB242" s="180"/>
      <c r="AC242" s="150">
        <f t="shared" si="102"/>
        <v>406800</v>
      </c>
      <c r="AD242" s="179"/>
      <c r="AE242" s="183"/>
      <c r="AF242" s="182">
        <f t="shared" si="103"/>
        <v>0</v>
      </c>
      <c r="AG242" s="234">
        <f t="shared" si="104"/>
        <v>71.19</v>
      </c>
      <c r="AH242" s="183">
        <v>175</v>
      </c>
      <c r="AI242" s="183">
        <v>300</v>
      </c>
      <c r="AJ242" s="183">
        <v>1356</v>
      </c>
      <c r="AK242" s="183">
        <v>700</v>
      </c>
      <c r="AL242" s="235">
        <f t="shared" si="105"/>
        <v>284.76</v>
      </c>
      <c r="AM242" s="184">
        <f t="shared" si="106"/>
        <v>199.33199999999999</v>
      </c>
      <c r="AN242" s="151">
        <f t="shared" si="107"/>
        <v>210000</v>
      </c>
      <c r="AO242" s="151">
        <f t="shared" si="108"/>
        <v>52500</v>
      </c>
      <c r="AP242" s="152">
        <f t="shared" si="109"/>
        <v>0.7</v>
      </c>
      <c r="AQ242" s="153">
        <f t="shared" si="110"/>
        <v>2.8</v>
      </c>
      <c r="AR242" s="185" t="s">
        <v>783</v>
      </c>
    </row>
  </sheetData>
  <autoFilter ref="A3:AR242" xr:uid="{9BB1E7F9-B7E0-4EE5-A96E-08F27078CA81}"/>
  <phoneticPr fontId="2" type="noConversion"/>
  <hyperlinks>
    <hyperlink ref="C15:C17" r:id="rId1" display="https://earth.google.com/web/search/CIDADE+JARDIM+12+-+PARAUAPEBAS/@-2.45795692,-54.77217012,46.50042218a,6405.178905d,35y,-0h,0t,0r/data=CiwiJgokCdmVqMeMyQbAESVW3mJaMwnAGYI6tUF7jUfAIaCAQToN3EfAQgIIAToDCgEwQgIIAEoICJfn8a8FEAA" xr:uid="{F5EBB1A0-109E-45B6-BF81-E007E5F33E4E}"/>
    <hyperlink ref="C16" r:id="rId2" xr:uid="{EB137398-0994-4734-BD13-E69812C4B75F}"/>
    <hyperlink ref="C157" r:id="rId3" display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xr:uid="{3341E72E-29E3-4A7E-8B9A-B920C5F35473}"/>
    <hyperlink ref="C31" r:id="rId4" display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xr:uid="{235A7B5C-B602-4554-A722-2EF00460F288}"/>
    <hyperlink ref="C32" r:id="rId5" display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xr:uid="{56C9EC46-9E5B-4689-95F2-7177A4EF2B11}"/>
    <hyperlink ref="C108" r:id="rId6" xr:uid="{8294533D-9DB6-43F1-94EE-53FF69313595}"/>
    <hyperlink ref="C44" r:id="rId7" display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xr:uid="{AC4D0DD0-BC5D-4AC4-9F0F-DDD3E11DF937}"/>
    <hyperlink ref="C164" r:id="rId8" display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xr:uid="{4C8C0BEE-FD86-4C51-933C-7F542F3B3A04}"/>
    <hyperlink ref="C48" r:id="rId9" xr:uid="{794E9FE4-42EB-4A70-B705-A68D82E55DC8}"/>
    <hyperlink ref="C78" r:id="rId10" xr:uid="{8D8DFB1C-A9A4-4875-A443-709B85DAC175}"/>
    <hyperlink ref="C102" r:id="rId11" display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xr:uid="{9206FCA1-D392-4D32-8ECF-2FB93A4A2AAE}"/>
    <hyperlink ref="C60" r:id="rId12" display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xr:uid="{1ACEFA26-658E-4EA8-B54E-E01E24171F91}"/>
    <hyperlink ref="C25" r:id="rId13" display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xr:uid="{AB545CF5-5FA1-41DD-976D-C506DD3A517F}"/>
    <hyperlink ref="C58" r:id="rId14" display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xr:uid="{7CF92CA9-61D6-434A-9F0B-109468DFE0AC}"/>
    <hyperlink ref="C99" r:id="rId15" display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xr:uid="{F8CF0DB2-91CE-4FA9-A694-850A3786B976}"/>
    <hyperlink ref="C24" r:id="rId16" display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xr:uid="{36E848F0-4A6B-4EA3-A2FB-1A01C640E070}"/>
    <hyperlink ref="C55" r:id="rId17" xr:uid="{4C4F8584-1BD9-4A5A-829D-A1244D6C2412}"/>
    <hyperlink ref="C92" r:id="rId18" xr:uid="{598C45D5-6AA5-4910-A34B-C742A3F53AFD}"/>
    <hyperlink ref="C91" r:id="rId19" xr:uid="{0FE482AD-3A2F-48DD-88BC-A07DF30C1CE9}"/>
    <hyperlink ref="C18" r:id="rId20" xr:uid="{BC2FB67F-9675-4F55-B4B8-F5B5BFCEA93A}"/>
    <hyperlink ref="C84" r:id="rId21" xr:uid="{D0745649-57B2-4B41-BC8A-317C5D453C14}"/>
    <hyperlink ref="C12" r:id="rId22" xr:uid="{8410800C-2B42-46C3-880D-3308A296A4D5}"/>
    <hyperlink ref="C106" r:id="rId23" xr:uid="{478462C2-E6F6-4044-837B-29FC440AB955}"/>
    <hyperlink ref="C65" r:id="rId24" xr:uid="{EBB14039-CC37-458F-911C-6332FDD40D61}"/>
    <hyperlink ref="C8" r:id="rId25" xr:uid="{A52A0A10-142C-463C-BE2B-79C7E1A44988}"/>
    <hyperlink ref="C11" r:id="rId26" xr:uid="{FFBCE89E-F77E-45D1-9E88-1465EB7CBB9B}"/>
    <hyperlink ref="C70" r:id="rId27" xr:uid="{21E0DD0D-4E5A-4FD5-8D2B-6794A4FC1657}"/>
    <hyperlink ref="C81" r:id="rId28" display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xr:uid="{ECE554EC-14FC-4F52-8C1C-31696D2DEA4D}"/>
    <hyperlink ref="C111" r:id="rId29" xr:uid="{0C46883C-8EB2-4B3A-9EE4-A53539B1FCFD}"/>
    <hyperlink ref="C52" r:id="rId30" xr:uid="{BF71FC38-EEB7-4F3F-AA62-4D3D246ECD1A}"/>
    <hyperlink ref="C15" r:id="rId31" xr:uid="{20D620E2-00D1-4632-9A20-0409C8AFCC74}"/>
    <hyperlink ref="C178" r:id="rId32" xr:uid="{FA23C2C7-CAA7-4B9F-822A-152468F01059}"/>
    <hyperlink ref="C196" r:id="rId33" display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xr:uid="{87CD4A36-F102-4659-9CEE-38515617DC47}"/>
    <hyperlink ref="C185" r:id="rId34" xr:uid="{61BF1597-52F6-4DD9-91B3-39BEE2A60EA0}"/>
    <hyperlink ref="C193" r:id="rId35" display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xr:uid="{346CAF93-5130-49B3-9F79-6550331522BE}"/>
    <hyperlink ref="C170" r:id="rId36" display="https://earth.google.com/web/search/Rio+Water+Planet+-+Vargem+Grande,+Rio+de+Janeiro+-+RJ/@-22.97932476,-43.48761622,7.82165637a,1689.89378841d,35y,0h,0t,0r/data=CiwiJgokCTgPgsbnOzDAEf3Z-ywSUjbAGak7SsebOEDAIc0sY3wO7EbAQgIIAToDCgEwQgIIAEoICJfn8a8FEAA?authuser=0" xr:uid="{CDB2160E-547B-4600-ADB0-170DDD400BAF}"/>
    <hyperlink ref="C220" r:id="rId37" xr:uid="{DD6BAB96-194D-4E4C-BFC2-BE561D44CDE3}"/>
    <hyperlink ref="C224" r:id="rId38" display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xr:uid="{D2AE4952-4D4F-48D8-BE69-E971C8AF0F65}"/>
    <hyperlink ref="C228" r:id="rId39" xr:uid="{667261DC-F059-4CC2-A71B-58A49FA95610}"/>
  </hyperlinks>
  <pageMargins left="0.511811024" right="0.511811024" top="0.78740157499999996" bottom="0.78740157499999996" header="0.31496062000000002" footer="0.31496062000000002"/>
  <legacy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9DCC-2E55-4574-8FB1-593D326214B6}">
  <dimension ref="A2:Z20"/>
  <sheetViews>
    <sheetView showGridLines="0" zoomScaleNormal="100" workbookViewId="0">
      <selection activeCell="D33" sqref="D33"/>
    </sheetView>
  </sheetViews>
  <sheetFormatPr defaultColWidth="0" defaultRowHeight="14.5"/>
  <cols>
    <col min="1" max="1" width="4.08984375" customWidth="1"/>
    <col min="2" max="2" width="20.453125" customWidth="1"/>
    <col min="3" max="3" width="16.453125" bestFit="1" customWidth="1"/>
    <col min="4" max="4" width="11.6328125" customWidth="1"/>
    <col min="5" max="5" width="11.26953125" bestFit="1" customWidth="1"/>
    <col min="6" max="6" width="9.90625" customWidth="1"/>
    <col min="7" max="7" width="10.7265625" bestFit="1" customWidth="1"/>
    <col min="8" max="8" width="11.08984375" bestFit="1" customWidth="1"/>
    <col min="9" max="10" width="8.7265625" customWidth="1"/>
    <col min="11" max="19" width="15.54296875" customWidth="1"/>
    <col min="20" max="26" width="8.7265625" customWidth="1"/>
    <col min="27" max="16384" width="8.7265625" hidden="1"/>
  </cols>
  <sheetData>
    <row r="2" spans="2:9">
      <c r="D2" s="262" t="s">
        <v>838</v>
      </c>
      <c r="E2" s="262"/>
      <c r="F2" s="264">
        <f>COUNTA(AREAS!N4:N233)</f>
        <v>230</v>
      </c>
      <c r="G2" s="264"/>
    </row>
    <row r="3" spans="2:9">
      <c r="D3" s="262" t="s">
        <v>839</v>
      </c>
      <c r="E3" s="262"/>
      <c r="F3" s="264">
        <f>COUNTA(_xlfn.UNIQUE(AREAS!L4:L233))</f>
        <v>74</v>
      </c>
      <c r="G3" s="264"/>
    </row>
    <row r="4" spans="2:9">
      <c r="D4" s="262" t="s">
        <v>840</v>
      </c>
      <c r="E4" s="262"/>
      <c r="F4" s="264">
        <f>COUNTA(_xlfn.UNIQUE(AREAS!M4:M233))</f>
        <v>17</v>
      </c>
      <c r="G4" s="264"/>
    </row>
    <row r="5" spans="2:9">
      <c r="D5" s="262" t="s">
        <v>843</v>
      </c>
      <c r="E5" s="262"/>
      <c r="F5" s="265">
        <f>SUM(AREAS!AJ4:AJ233)</f>
        <v>209316.38223506496</v>
      </c>
      <c r="G5" s="265"/>
    </row>
    <row r="6" spans="2:9">
      <c r="D6" s="262" t="s">
        <v>841</v>
      </c>
      <c r="E6" s="263"/>
      <c r="F6" s="236">
        <f>G6/10000</f>
        <v>5467.7118911730067</v>
      </c>
      <c r="G6" s="237">
        <f>SUM(AREAS!AC4:AC233)</f>
        <v>54677118.911730066</v>
      </c>
    </row>
    <row r="7" spans="2:9">
      <c r="D7" s="262" t="s">
        <v>842</v>
      </c>
      <c r="E7" s="262"/>
      <c r="F7" s="260">
        <f>SUM(AREAS!AL4:AL233)</f>
        <v>36570.202758670683</v>
      </c>
      <c r="G7" s="260"/>
    </row>
    <row r="8" spans="2:9">
      <c r="D8" s="262" t="s">
        <v>770</v>
      </c>
      <c r="E8" s="262"/>
      <c r="F8" s="261">
        <f>SUM(AREAS!AM4:AM233)</f>
        <v>23444.78117617092</v>
      </c>
      <c r="G8" s="261"/>
    </row>
    <row r="10" spans="2:9">
      <c r="B10" s="70" t="s">
        <v>2</v>
      </c>
      <c r="C10" s="70" t="s">
        <v>706</v>
      </c>
      <c r="D10" s="70" t="s">
        <v>25</v>
      </c>
      <c r="E10" s="71" t="s">
        <v>73</v>
      </c>
      <c r="F10" s="70" t="s">
        <v>784</v>
      </c>
      <c r="G10" s="70" t="s">
        <v>25</v>
      </c>
      <c r="H10" s="71" t="s">
        <v>73</v>
      </c>
      <c r="I10" s="69" t="s">
        <v>798</v>
      </c>
    </row>
    <row r="11" spans="2:9">
      <c r="B11" t="str" cm="1">
        <f t="array" ref="B11:B19">_xlfn._xlws.SORT(_xlfn.UNIQUE(AREAS!K4:K167))</f>
        <v>CENTRO-OESTE I</v>
      </c>
      <c r="C11" s="175">
        <f>COUNTIF(AREAS!K:K,Painel!B11)</f>
        <v>2</v>
      </c>
      <c r="D11" s="1">
        <f>COUNTIFS(AREAS!$K:$K,Painel!$B11,AREAS!$Q:$Q,Painel!D$10)</f>
        <v>2</v>
      </c>
      <c r="E11" s="1">
        <f>COUNTIFS(AREAS!$K:$K,Painel!$B11,AREAS!$Q:$Q,Painel!E$10)</f>
        <v>0</v>
      </c>
      <c r="F11" s="73">
        <f>SUMIFS(AREAS!$AJ$4:$AJ$1048576,AREAS!$K$4:$K$1048576,Painel!B11)</f>
        <v>1461</v>
      </c>
      <c r="G11" s="73">
        <f>SUMIFS(AREAS!$AJ$4:$AJ$167,AREAS!$K$4:$K$167,Painel!$B11,AREAS!$Q$4:$Q$167,Painel!G$10)</f>
        <v>1461</v>
      </c>
      <c r="H11" s="73">
        <f>SUMIFS(AREAS!$AJ$4:$AJ$167,AREAS!$K$4:$K$167,Painel!$B11,AREAS!$Q$4:$Q$167,Painel!H$10)</f>
        <v>0</v>
      </c>
      <c r="I11" s="75">
        <f t="shared" ref="I11:I19" si="0">H11/F11</f>
        <v>0</v>
      </c>
    </row>
    <row r="12" spans="2:9">
      <c r="B12" t="str">
        <v>CENTRO-OESTE II</v>
      </c>
      <c r="C12" s="175">
        <f>COUNTIF(AREAS!K:K,Painel!B12)</f>
        <v>10</v>
      </c>
      <c r="D12" s="1">
        <f>COUNTIFS(AREAS!$K:$K,Painel!$B12,AREAS!$Q:$Q,Painel!D$10)</f>
        <v>10</v>
      </c>
      <c r="E12" s="1">
        <f>COUNTIFS(AREAS!$K:$K,Painel!$B12,AREAS!$Q:$Q,Painel!E$10)</f>
        <v>0</v>
      </c>
      <c r="F12" s="73">
        <f>SUMIFS(AREAS!$AJ$4:$AJ$1048576,AREAS!$K$4:$K$1048576,Painel!B12)</f>
        <v>9416</v>
      </c>
      <c r="G12" s="73">
        <f>SUMIFS(AREAS!$AJ$4:$AJ$167,AREAS!$K$4:$K$167,Painel!$B12,AREAS!$Q$4:$Q$167,Painel!G$10)</f>
        <v>8916</v>
      </c>
      <c r="H12" s="73">
        <f>SUMIFS(AREAS!$AJ$4:$AJ$167,AREAS!$K$4:$K$167,Painel!$B12,AREAS!$Q$4:$Q$167,Painel!H$10)</f>
        <v>0</v>
      </c>
      <c r="I12" s="75">
        <f t="shared" si="0"/>
        <v>0</v>
      </c>
    </row>
    <row r="13" spans="2:9">
      <c r="B13" t="str">
        <v>NORDESTE I</v>
      </c>
      <c r="C13" s="175">
        <f>COUNTIF(AREAS!K:K,Painel!B13)</f>
        <v>7</v>
      </c>
      <c r="D13" s="1">
        <f>COUNTIFS(AREAS!$K:$K,Painel!$B13,AREAS!$Q:$Q,Painel!D$10)</f>
        <v>5</v>
      </c>
      <c r="E13" s="1">
        <f>COUNTIFS(AREAS!$K:$K,Painel!$B13,AREAS!$Q:$Q,Painel!E$10)</f>
        <v>2</v>
      </c>
      <c r="F13" s="73">
        <f>SUMIFS(AREAS!$AJ$4:$AJ$1048576,AREAS!$K$4:$K$1048576,Painel!B13)</f>
        <v>8189.666666666667</v>
      </c>
      <c r="G13" s="73">
        <f>SUMIFS(AREAS!$AJ$4:$AJ$167,AREAS!$K$4:$K$167,Painel!$B13,AREAS!$Q$4:$Q$167,Painel!G$10)</f>
        <v>7504.666666666667</v>
      </c>
      <c r="H13" s="73">
        <f>SUMIFS(AREAS!$AJ$4:$AJ$167,AREAS!$K$4:$K$167,Painel!$B13,AREAS!$Q$4:$Q$167,Painel!H$10)</f>
        <v>685</v>
      </c>
      <c r="I13" s="75">
        <f t="shared" si="0"/>
        <v>8.3641987870894219E-2</v>
      </c>
    </row>
    <row r="14" spans="2:9">
      <c r="B14" t="str">
        <v>NORDESTE II</v>
      </c>
      <c r="C14" s="175">
        <f>COUNTIF(AREAS!K:K,Painel!B14)</f>
        <v>7</v>
      </c>
      <c r="D14" s="1">
        <f>COUNTIFS(AREAS!$K:$K,Painel!$B14,AREAS!$Q:$Q,Painel!D$10)</f>
        <v>7</v>
      </c>
      <c r="E14" s="1">
        <f>COUNTIFS(AREAS!$K:$K,Painel!$B14,AREAS!$Q:$Q,Painel!E$10)</f>
        <v>0</v>
      </c>
      <c r="F14" s="73">
        <f>SUMIFS(AREAS!$AJ$4:$AJ$1048576,AREAS!$K$4:$K$1048576,Painel!B14)</f>
        <v>7420</v>
      </c>
      <c r="G14" s="73">
        <f>SUMIFS(AREAS!$AJ$4:$AJ$167,AREAS!$K$4:$K$167,Painel!$B14,AREAS!$Q$4:$Q$167,Painel!G$10)</f>
        <v>7420</v>
      </c>
      <c r="H14" s="73">
        <f>SUMIFS(AREAS!$AJ$4:$AJ$167,AREAS!$K$4:$K$167,Painel!$B14,AREAS!$Q$4:$Q$167,Painel!H$10)</f>
        <v>0</v>
      </c>
      <c r="I14" s="75">
        <f t="shared" si="0"/>
        <v>0</v>
      </c>
    </row>
    <row r="15" spans="2:9">
      <c r="B15" t="str">
        <v>NORTE</v>
      </c>
      <c r="C15" s="175">
        <f>COUNTIF(AREAS!K:K,Painel!B15)</f>
        <v>26</v>
      </c>
      <c r="D15" s="1">
        <f>COUNTIFS(AREAS!$K:$K,Painel!$B15,AREAS!$Q:$Q,Painel!D$10)</f>
        <v>25</v>
      </c>
      <c r="E15" s="1">
        <f>COUNTIFS(AREAS!$K:$K,Painel!$B15,AREAS!$Q:$Q,Painel!E$10)</f>
        <v>1</v>
      </c>
      <c r="F15" s="73">
        <f>SUMIFS(AREAS!$AJ$4:$AJ$1048576,AREAS!$K$4:$K$1048576,Painel!B15)</f>
        <v>23843</v>
      </c>
      <c r="G15" s="73">
        <f>SUMIFS(AREAS!$AJ$4:$AJ$167,AREAS!$K$4:$K$167,Painel!$B15,AREAS!$Q$4:$Q$167,Painel!G$10)</f>
        <v>22093</v>
      </c>
      <c r="H15" s="73">
        <f>SUMIFS(AREAS!$AJ$4:$AJ$167,AREAS!$K$4:$K$167,Painel!$B15,AREAS!$Q$4:$Q$167,Painel!H$10)</f>
        <v>250</v>
      </c>
      <c r="I15" s="75">
        <f t="shared" si="0"/>
        <v>1.0485257727634945E-2</v>
      </c>
    </row>
    <row r="16" spans="2:9">
      <c r="B16" t="str">
        <v>OESTE</v>
      </c>
      <c r="C16" s="175">
        <f>COUNTIF(AREAS!K:K,Painel!B16)</f>
        <v>32</v>
      </c>
      <c r="D16" s="1">
        <f>COUNTIFS(AREAS!$K:$K,Painel!$B16,AREAS!$Q:$Q,Painel!D$10)</f>
        <v>24</v>
      </c>
      <c r="E16" s="1">
        <f>COUNTIFS(AREAS!$K:$K,Painel!$B16,AREAS!$Q:$Q,Painel!E$10)</f>
        <v>8</v>
      </c>
      <c r="F16" s="73">
        <f>SUMIFS(AREAS!$AJ$4:$AJ$1048576,AREAS!$K$4:$K$1048576,Painel!B16)</f>
        <v>44711.363966666671</v>
      </c>
      <c r="G16" s="73">
        <f>SUMIFS(AREAS!$AJ$4:$AJ$167,AREAS!$K$4:$K$167,Painel!$B16,AREAS!$Q$4:$Q$167,Painel!G$10)</f>
        <v>33674.6973</v>
      </c>
      <c r="H16" s="73">
        <f>SUMIFS(AREAS!$AJ$4:$AJ$167,AREAS!$K$4:$K$167,Painel!$B16,AREAS!$Q$4:$Q$167,Painel!H$10)</f>
        <v>6639.666666666667</v>
      </c>
      <c r="I16" s="75">
        <f t="shared" si="0"/>
        <v>0.14850065123525841</v>
      </c>
    </row>
    <row r="17" spans="2:9">
      <c r="B17" t="str">
        <v>SUDESTE</v>
      </c>
      <c r="C17" s="175">
        <f>COUNTIF(AREAS!K:K,Painel!B17)</f>
        <v>63</v>
      </c>
      <c r="D17" s="1">
        <f>COUNTIFS(AREAS!$K:$K,Painel!$B17,AREAS!$Q:$Q,Painel!D$10)</f>
        <v>54</v>
      </c>
      <c r="E17" s="1">
        <f>COUNTIFS(AREAS!$K:$K,Painel!$B17,AREAS!$Q:$Q,Painel!E$10)</f>
        <v>9</v>
      </c>
      <c r="F17" s="73">
        <f>SUMIFS(AREAS!$AJ$4:$AJ$1048576,AREAS!$K$4:$K$1048576,Painel!B17)</f>
        <v>53031</v>
      </c>
      <c r="G17" s="73">
        <f>SUMIFS(AREAS!$AJ$4:$AJ$167,AREAS!$K$4:$K$167,Painel!$B17,AREAS!$Q$4:$Q$167,Painel!G$10)</f>
        <v>27857</v>
      </c>
      <c r="H17" s="73">
        <f>SUMIFS(AREAS!$AJ$4:$AJ$167,AREAS!$K$4:$K$167,Painel!$B17,AREAS!$Q$4:$Q$167,Painel!H$10)</f>
        <v>1460</v>
      </c>
      <c r="I17" s="75">
        <f t="shared" si="0"/>
        <v>2.7531066734551489E-2</v>
      </c>
    </row>
    <row r="18" spans="2:9">
      <c r="B18" t="str">
        <v>SUL</v>
      </c>
      <c r="C18" s="175">
        <f>COUNTIF(AREAS!K:K,Painel!B18)</f>
        <v>58</v>
      </c>
      <c r="D18" s="1">
        <f>COUNTIFS(AREAS!$K:$K,Painel!$B18,AREAS!$Q:$Q,Painel!D$10)</f>
        <v>51</v>
      </c>
      <c r="E18" s="1">
        <f>COUNTIFS(AREAS!$K:$K,Painel!$B18,AREAS!$Q:$Q,Painel!E$10)</f>
        <v>7</v>
      </c>
      <c r="F18" s="73">
        <f>SUMIFS(AREAS!$AJ$4:$AJ$1048576,AREAS!$K$4:$K$1048576,Painel!B18)</f>
        <v>40619.666666666672</v>
      </c>
      <c r="G18" s="73">
        <f>SUMIFS(AREAS!$AJ$4:$AJ$167,AREAS!$K$4:$K$167,Painel!$B18,AREAS!$Q$4:$Q$167,Painel!G$10)</f>
        <v>19134.5</v>
      </c>
      <c r="H18" s="73">
        <f>SUMIFS(AREAS!$AJ$4:$AJ$167,AREAS!$K$4:$K$167,Painel!$B18,AREAS!$Q$4:$Q$167,Painel!H$10)</f>
        <v>444</v>
      </c>
      <c r="I18" s="75">
        <f t="shared" si="0"/>
        <v>1.093066576945486E-2</v>
      </c>
    </row>
    <row r="19" spans="2:9">
      <c r="B19" t="str">
        <v>TOCANTINS</v>
      </c>
      <c r="C19" s="175">
        <f>COUNTIF(AREAS!K:K,Painel!B19)</f>
        <v>34</v>
      </c>
      <c r="D19" s="1">
        <f>COUNTIFS(AREAS!$K:$K,Painel!$B19,AREAS!$Q:$Q,Painel!D$10)</f>
        <v>29</v>
      </c>
      <c r="E19" s="1">
        <f>COUNTIFS(AREAS!$K:$K,Painel!$B19,AREAS!$Q:$Q,Painel!E$10)</f>
        <v>5</v>
      </c>
      <c r="F19" s="73">
        <f>SUMIFS(AREAS!$AJ$4:$AJ$1048576,AREAS!$K$4:$K$1048576,Painel!B19)</f>
        <v>24917.684935064935</v>
      </c>
      <c r="G19" s="73">
        <f>SUMIFS(AREAS!$AJ$4:$AJ$167,AREAS!$K$4:$K$167,Painel!$B19,AREAS!$Q$4:$Q$167,Painel!G$10)</f>
        <v>19544.556363636366</v>
      </c>
      <c r="H19" s="73">
        <f>SUMIFS(AREAS!$AJ$4:$AJ$167,AREAS!$K$4:$K$167,Painel!$B19,AREAS!$Q$4:$Q$167,Painel!H$10)</f>
        <v>427</v>
      </c>
      <c r="I19" s="75">
        <f t="shared" si="0"/>
        <v>1.7136423432303392E-2</v>
      </c>
    </row>
    <row r="20" spans="2:9">
      <c r="B20" s="67" t="s">
        <v>781</v>
      </c>
      <c r="C20" s="68">
        <f>SUM(C11:C19)</f>
        <v>239</v>
      </c>
      <c r="D20" s="69">
        <f t="shared" ref="D20:E20" si="1">SUM(D11:D19)</f>
        <v>207</v>
      </c>
      <c r="E20" s="69">
        <f t="shared" si="1"/>
        <v>32</v>
      </c>
      <c r="F20" s="74">
        <f t="shared" ref="F20" si="2">SUM(F11:F19)</f>
        <v>213609.38223506493</v>
      </c>
      <c r="G20" s="74">
        <f t="shared" ref="G20" si="3">SUM(G11:G19)</f>
        <v>147605.42033030302</v>
      </c>
      <c r="H20" s="74">
        <f t="shared" ref="H20" si="4">SUM(H11:H19)</f>
        <v>9905.6666666666679</v>
      </c>
      <c r="I20" s="67"/>
    </row>
  </sheetData>
  <mergeCells count="13">
    <mergeCell ref="F3:G3"/>
    <mergeCell ref="F4:G4"/>
    <mergeCell ref="F5:G5"/>
    <mergeCell ref="D2:E2"/>
    <mergeCell ref="D3:E3"/>
    <mergeCell ref="F2:G2"/>
    <mergeCell ref="F7:G7"/>
    <mergeCell ref="F8:G8"/>
    <mergeCell ref="D4:E4"/>
    <mergeCell ref="D5:E5"/>
    <mergeCell ref="D6:E6"/>
    <mergeCell ref="D7:E7"/>
    <mergeCell ref="D8:E8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53D1-1967-488C-983B-75453B37C85F}">
  <sheetPr>
    <tabColor rgb="FFFF0000"/>
  </sheetPr>
  <dimension ref="A2:XET140"/>
  <sheetViews>
    <sheetView workbookViewId="0">
      <selection activeCell="K105" sqref="K105"/>
    </sheetView>
  </sheetViews>
  <sheetFormatPr defaultRowHeight="14.5"/>
  <cols>
    <col min="1" max="1" width="7.7265625" bestFit="1" customWidth="1"/>
    <col min="2" max="2" width="56.6328125" bestFit="1" customWidth="1"/>
    <col min="3" max="3" width="37.90625" hidden="1" customWidth="1"/>
    <col min="4" max="4" width="4.7265625" bestFit="1" customWidth="1"/>
    <col min="5" max="5" width="19.453125" customWidth="1"/>
    <col min="6" max="6" width="17.36328125" bestFit="1" customWidth="1"/>
    <col min="7" max="7" width="11.1796875" bestFit="1" customWidth="1"/>
    <col min="8" max="8" width="1.453125" bestFit="1" customWidth="1"/>
    <col min="9" max="9" width="4.81640625" bestFit="1" customWidth="1"/>
    <col min="10" max="10" width="6.26953125" bestFit="1" customWidth="1"/>
    <col min="11" max="11" width="16.7265625" bestFit="1" customWidth="1"/>
    <col min="12" max="12" width="23.1796875" bestFit="1" customWidth="1"/>
    <col min="13" max="13" width="8.6328125" bestFit="1" customWidth="1"/>
    <col min="14" max="14" width="40.26953125" bestFit="1" customWidth="1"/>
    <col min="15" max="15" width="16.6328125" bestFit="1" customWidth="1"/>
    <col min="16" max="16" width="9.453125" bestFit="1" customWidth="1"/>
    <col min="17" max="17" width="10.26953125" bestFit="1" customWidth="1"/>
    <col min="18" max="18" width="4.08984375" bestFit="1" customWidth="1"/>
    <col min="19" max="19" width="8.6328125" bestFit="1" customWidth="1"/>
    <col min="20" max="20" width="6.54296875" bestFit="1" customWidth="1"/>
    <col min="21" max="21" width="7.6328125" bestFit="1" customWidth="1"/>
    <col min="22" max="22" width="6.6328125" bestFit="1" customWidth="1"/>
    <col min="23" max="23" width="8.6328125" bestFit="1" customWidth="1"/>
    <col min="24" max="26" width="5.6328125" bestFit="1" customWidth="1"/>
    <col min="27" max="27" width="5.08984375" bestFit="1" customWidth="1"/>
    <col min="28" max="28" width="6.6328125" bestFit="1" customWidth="1"/>
    <col min="29" max="29" width="8.6328125" bestFit="1" customWidth="1"/>
    <col min="30" max="30" width="11.453125" bestFit="1" customWidth="1"/>
    <col min="31" max="31" width="10.453125" bestFit="1" customWidth="1"/>
    <col min="32" max="32" width="6" bestFit="1" customWidth="1"/>
    <col min="33" max="33" width="5.26953125" bestFit="1" customWidth="1"/>
    <col min="34" max="34" width="7.453125" bestFit="1" customWidth="1"/>
    <col min="35" max="35" width="3.81640625" bestFit="1" customWidth="1"/>
    <col min="36" max="37" width="5.36328125" bestFit="1" customWidth="1"/>
    <col min="38" max="39" width="3.81640625" bestFit="1" customWidth="1"/>
    <col min="40" max="40" width="11.453125" bestFit="1" customWidth="1"/>
    <col min="41" max="41" width="10.453125" bestFit="1" customWidth="1"/>
    <col min="42" max="42" width="7" bestFit="1" customWidth="1"/>
    <col min="43" max="43" width="5.26953125" bestFit="1" customWidth="1"/>
    <col min="44" max="44" width="7.453125" bestFit="1" customWidth="1"/>
  </cols>
  <sheetData>
    <row r="2" spans="1:147" s="15" customFormat="1" ht="12.5">
      <c r="A2" s="19" t="s">
        <v>440</v>
      </c>
      <c r="B2" s="19" t="s">
        <v>235</v>
      </c>
      <c r="C2" s="21" t="s">
        <v>398</v>
      </c>
      <c r="D2" s="22">
        <v>1</v>
      </c>
      <c r="E2" s="23" t="s">
        <v>740</v>
      </c>
      <c r="F2" s="17"/>
      <c r="G2" s="24">
        <v>2049</v>
      </c>
      <c r="H2" s="17"/>
      <c r="I2" s="17"/>
      <c r="J2" s="25">
        <v>199</v>
      </c>
      <c r="K2" s="26" t="s">
        <v>81</v>
      </c>
      <c r="L2" s="26" t="s">
        <v>86</v>
      </c>
      <c r="M2" s="25" t="s">
        <v>570</v>
      </c>
      <c r="N2" s="26" t="s">
        <v>87</v>
      </c>
      <c r="O2" s="26" t="s">
        <v>756</v>
      </c>
      <c r="P2" s="32">
        <v>1923792</v>
      </c>
      <c r="Q2" s="27" t="s">
        <v>25</v>
      </c>
      <c r="R2" s="27" t="s">
        <v>759</v>
      </c>
      <c r="S2" s="25">
        <v>2028</v>
      </c>
      <c r="T2" s="29">
        <v>46934</v>
      </c>
      <c r="U2" s="28">
        <v>0.8</v>
      </c>
      <c r="V2" s="28"/>
      <c r="W2" s="31">
        <f>SUM(U2:V2)</f>
        <v>0.8</v>
      </c>
      <c r="X2" s="28"/>
      <c r="Y2" s="28"/>
      <c r="Z2" s="28"/>
      <c r="AA2" s="47">
        <v>0.19800000000000001</v>
      </c>
      <c r="AB2" s="28">
        <v>0.19999999999999996</v>
      </c>
      <c r="AC2" s="45">
        <f>AI2*AJ2</f>
        <v>114840</v>
      </c>
      <c r="AD2" s="29"/>
      <c r="AE2" s="17">
        <f>P2/10^6</f>
        <v>1.9237919999999999</v>
      </c>
      <c r="AF2" s="47">
        <f>IF(AL2=0,0,AE2/AL2)</f>
        <v>3.5444896729365537E-2</v>
      </c>
      <c r="AG2" s="49">
        <f>(AH2*AI2*AJ2)/10^6</f>
        <v>13.780799999999999</v>
      </c>
      <c r="AH2" s="17">
        <v>120</v>
      </c>
      <c r="AI2" s="17">
        <v>165</v>
      </c>
      <c r="AJ2" s="17">
        <v>696</v>
      </c>
      <c r="AK2" s="17">
        <v>472.61904167062232</v>
      </c>
      <c r="AL2" s="49">
        <f>(AK2*AJ2*AI2)/10^6</f>
        <v>54.275570745454267</v>
      </c>
      <c r="AM2" s="49">
        <f>AL2*U2</f>
        <v>43.420456596363415</v>
      </c>
      <c r="AN2" s="30">
        <v>79872.618042335176</v>
      </c>
      <c r="AO2" s="51">
        <f>AH2*AI2</f>
        <v>19800</v>
      </c>
      <c r="AP2" s="53">
        <f>U2+AB2</f>
        <v>1</v>
      </c>
      <c r="AQ2" s="54">
        <f>AL2*AP2/(AG2+AE2)</f>
        <v>3.4560318883454131</v>
      </c>
      <c r="AR2" s="18" t="s">
        <v>783</v>
      </c>
    </row>
    <row r="3" spans="1:147" s="15" customFormat="1" ht="12.5">
      <c r="A3" s="19" t="s">
        <v>440</v>
      </c>
      <c r="B3" s="19" t="s">
        <v>234</v>
      </c>
      <c r="C3" s="21" t="s">
        <v>398</v>
      </c>
      <c r="D3" s="33">
        <v>1</v>
      </c>
      <c r="E3" s="34" t="s">
        <v>740</v>
      </c>
      <c r="F3" s="35"/>
      <c r="G3" s="36">
        <v>2049</v>
      </c>
      <c r="H3" s="35"/>
      <c r="I3" s="35"/>
      <c r="J3" s="37">
        <v>198</v>
      </c>
      <c r="K3" s="38" t="s">
        <v>81</v>
      </c>
      <c r="L3" s="38" t="s">
        <v>86</v>
      </c>
      <c r="M3" s="37" t="s">
        <v>570</v>
      </c>
      <c r="N3" s="38" t="s">
        <v>46</v>
      </c>
      <c r="O3" s="38" t="s">
        <v>756</v>
      </c>
      <c r="P3" s="39">
        <v>1923792</v>
      </c>
      <c r="Q3" s="40" t="s">
        <v>25</v>
      </c>
      <c r="R3" s="40" t="s">
        <v>759</v>
      </c>
      <c r="S3" s="37">
        <v>2027</v>
      </c>
      <c r="T3" s="41">
        <v>46477</v>
      </c>
      <c r="U3" s="42">
        <v>0.8</v>
      </c>
      <c r="V3" s="42"/>
      <c r="W3" s="43">
        <f>SUM(U3:V3)</f>
        <v>0.8</v>
      </c>
      <c r="X3" s="42"/>
      <c r="Y3" s="42"/>
      <c r="Z3" s="42"/>
      <c r="AA3" s="48">
        <v>0.19800000000000001</v>
      </c>
      <c r="AB3" s="42">
        <v>0.19999999999999996</v>
      </c>
      <c r="AC3" s="46">
        <f>AI3*AJ3</f>
        <v>165000</v>
      </c>
      <c r="AD3" s="41"/>
      <c r="AE3" s="35">
        <f>P3/10^6</f>
        <v>1.9237919999999999</v>
      </c>
      <c r="AF3" s="48">
        <f>IF(AL3=0,0,AE3/AL3)</f>
        <v>2.4669648123638414E-2</v>
      </c>
      <c r="AG3" s="50">
        <f>(AH3*AI3*AJ3)/10^6</f>
        <v>19.8</v>
      </c>
      <c r="AH3" s="35">
        <v>120</v>
      </c>
      <c r="AI3" s="35">
        <v>165</v>
      </c>
      <c r="AJ3" s="35">
        <v>1000</v>
      </c>
      <c r="AK3" s="35">
        <v>472.61904167062232</v>
      </c>
      <c r="AL3" s="50">
        <f>(AK3*AJ3*AI3)/10^6</f>
        <v>77.982141875652687</v>
      </c>
      <c r="AM3" s="50">
        <f>AL3*U3</f>
        <v>62.385713500522151</v>
      </c>
      <c r="AN3" s="44">
        <v>79872.618042335176</v>
      </c>
      <c r="AO3" s="52">
        <f>AH3*AI3</f>
        <v>19800</v>
      </c>
      <c r="AP3" s="55">
        <f>U3+AB3</f>
        <v>1</v>
      </c>
      <c r="AQ3" s="54">
        <f>AL3*AP3/(AG3+AE3)</f>
        <v>3.589711311710805</v>
      </c>
      <c r="AR3" s="18" t="s">
        <v>783</v>
      </c>
    </row>
    <row r="4" spans="1:147" s="15" customFormat="1" ht="12.5">
      <c r="A4" s="19" t="s">
        <v>443</v>
      </c>
      <c r="B4" s="19" t="s">
        <v>238</v>
      </c>
      <c r="C4" s="21" t="s">
        <v>393</v>
      </c>
      <c r="D4" s="22">
        <v>1</v>
      </c>
      <c r="E4" s="23" t="s">
        <v>740</v>
      </c>
      <c r="F4" s="17"/>
      <c r="G4" s="24">
        <v>2046</v>
      </c>
      <c r="H4" s="17"/>
      <c r="I4" s="17"/>
      <c r="J4" s="25">
        <v>203</v>
      </c>
      <c r="K4" s="26" t="s">
        <v>81</v>
      </c>
      <c r="L4" s="26" t="s">
        <v>91</v>
      </c>
      <c r="M4" s="25" t="s">
        <v>581</v>
      </c>
      <c r="N4" s="26" t="s">
        <v>92</v>
      </c>
      <c r="O4" s="26" t="s">
        <v>756</v>
      </c>
      <c r="P4" s="32">
        <v>4000000</v>
      </c>
      <c r="Q4" s="27" t="s">
        <v>25</v>
      </c>
      <c r="R4" s="27" t="s">
        <v>26</v>
      </c>
      <c r="S4" s="25">
        <v>2028</v>
      </c>
      <c r="T4" s="29">
        <v>46934</v>
      </c>
      <c r="U4" s="28">
        <v>0.8</v>
      </c>
      <c r="V4" s="28"/>
      <c r="W4" s="31">
        <f>SUM(U4:V4)</f>
        <v>0.8</v>
      </c>
      <c r="X4" s="28"/>
      <c r="Y4" s="28"/>
      <c r="Z4" s="28"/>
      <c r="AA4" s="47">
        <v>0.19800000000000001</v>
      </c>
      <c r="AB4" s="28">
        <v>0.19999999999999996</v>
      </c>
      <c r="AC4" s="45">
        <f>AI4*AJ4</f>
        <v>204159.05</v>
      </c>
      <c r="AD4" s="29"/>
      <c r="AE4" s="17">
        <f>P4/10^6</f>
        <v>4</v>
      </c>
      <c r="AF4" s="47">
        <f>IF(AL4=0,0,AE4/AL4)</f>
        <v>4.556411083121395E-2</v>
      </c>
      <c r="AG4" s="49">
        <f>(AH4*AI4*AJ4)/10^6</f>
        <v>24.499085999999995</v>
      </c>
      <c r="AH4" s="17">
        <v>120</v>
      </c>
      <c r="AI4" s="17">
        <v>216.4995227995758</v>
      </c>
      <c r="AJ4" s="17">
        <v>943</v>
      </c>
      <c r="AK4" s="17">
        <v>430</v>
      </c>
      <c r="AL4" s="49">
        <f>(AK4*AJ4*AI4)/10^6</f>
        <v>87.788391499999989</v>
      </c>
      <c r="AM4" s="49">
        <f>AL4*U4</f>
        <v>70.230713199999997</v>
      </c>
      <c r="AN4" s="30">
        <v>93094.794803817596</v>
      </c>
      <c r="AO4" s="51">
        <f>AH4*AI4</f>
        <v>25979.942735949095</v>
      </c>
      <c r="AP4" s="53">
        <f>U4+AB4</f>
        <v>1</v>
      </c>
      <c r="AQ4" s="54">
        <f>AL4*AP4/(AG4+AE4)</f>
        <v>3.0803932273477121</v>
      </c>
      <c r="AR4" s="18" t="s">
        <v>783</v>
      </c>
    </row>
    <row r="5" spans="1:147" s="15" customFormat="1" ht="12.5">
      <c r="A5" s="19" t="s">
        <v>507</v>
      </c>
      <c r="B5" s="19" t="s">
        <v>282</v>
      </c>
      <c r="C5" s="21" t="s">
        <v>343</v>
      </c>
      <c r="D5" s="22">
        <v>1</v>
      </c>
      <c r="E5" s="23" t="s">
        <v>740</v>
      </c>
      <c r="F5" s="17"/>
      <c r="G5" s="24">
        <v>2106</v>
      </c>
      <c r="H5" s="17"/>
      <c r="I5" s="17"/>
      <c r="J5" s="25">
        <v>327</v>
      </c>
      <c r="K5" s="26" t="s">
        <v>159</v>
      </c>
      <c r="L5" s="26" t="s">
        <v>160</v>
      </c>
      <c r="M5" s="25" t="s">
        <v>576</v>
      </c>
      <c r="N5" s="26" t="s">
        <v>161</v>
      </c>
      <c r="O5" s="26" t="s">
        <v>756</v>
      </c>
      <c r="P5" s="32">
        <v>1436252.3</v>
      </c>
      <c r="Q5" s="27" t="s">
        <v>25</v>
      </c>
      <c r="R5" s="27" t="s">
        <v>759</v>
      </c>
      <c r="S5" s="25">
        <v>2027</v>
      </c>
      <c r="T5" s="29">
        <v>46568</v>
      </c>
      <c r="U5" s="28">
        <v>0.7</v>
      </c>
      <c r="V5" s="28">
        <v>0.30000000000000004</v>
      </c>
      <c r="W5" s="31">
        <f>SUM(U5:V5)</f>
        <v>1</v>
      </c>
      <c r="X5" s="28">
        <v>0.05</v>
      </c>
      <c r="Y5" s="28">
        <v>9.0000000000000011E-2</v>
      </c>
      <c r="Z5" s="28">
        <v>6.8000000000000005E-2</v>
      </c>
      <c r="AA5" s="47">
        <v>0.19800000000000001</v>
      </c>
      <c r="AB5" s="28"/>
      <c r="AC5" s="45">
        <f>AI5*AJ5</f>
        <v>248211</v>
      </c>
      <c r="AD5" s="29"/>
      <c r="AE5" s="17">
        <f>P5/10^6</f>
        <v>1.4362523</v>
      </c>
      <c r="AF5" s="47">
        <f>IF(AL5=0,0,AE5/AL5)</f>
        <v>1.1572833597221718E-2</v>
      </c>
      <c r="AG5" s="49">
        <f>(AH5*AI5*AJ5)/10^6</f>
        <v>39.713760000000001</v>
      </c>
      <c r="AH5" s="17">
        <v>160</v>
      </c>
      <c r="AI5" s="17">
        <v>261</v>
      </c>
      <c r="AJ5" s="17">
        <v>951</v>
      </c>
      <c r="AK5" s="17">
        <v>500</v>
      </c>
      <c r="AL5" s="49">
        <f>(AK5*AJ5*AI5)/10^6</f>
        <v>124.10550000000001</v>
      </c>
      <c r="AM5" s="49">
        <f>AL5*U5</f>
        <v>86.873850000000004</v>
      </c>
      <c r="AN5" s="30">
        <v>110000</v>
      </c>
      <c r="AO5" s="51">
        <f>AH5*AI5</f>
        <v>41760</v>
      </c>
      <c r="AP5" s="53">
        <f>U5+AB5</f>
        <v>0.7</v>
      </c>
      <c r="AQ5" s="54">
        <f>AL5*AP5/(AG5+AE5)</f>
        <v>2.1111500372504142</v>
      </c>
      <c r="AR5" s="18" t="s">
        <v>783</v>
      </c>
    </row>
    <row r="6" spans="1:147" s="15" customFormat="1" ht="12.5">
      <c r="A6" s="19" t="s">
        <v>509</v>
      </c>
      <c r="B6" s="19" t="s">
        <v>292</v>
      </c>
      <c r="C6" s="21" t="s">
        <v>342</v>
      </c>
      <c r="D6" s="22">
        <v>1</v>
      </c>
      <c r="E6" s="23" t="s">
        <v>740</v>
      </c>
      <c r="F6" s="17"/>
      <c r="G6" s="24">
        <v>1865</v>
      </c>
      <c r="H6" s="17"/>
      <c r="I6" s="17"/>
      <c r="J6" s="25">
        <v>337</v>
      </c>
      <c r="K6" s="26" t="s">
        <v>159</v>
      </c>
      <c r="L6" s="26" t="s">
        <v>164</v>
      </c>
      <c r="M6" s="25" t="s">
        <v>577</v>
      </c>
      <c r="N6" s="26" t="s">
        <v>165</v>
      </c>
      <c r="O6" s="26" t="s">
        <v>760</v>
      </c>
      <c r="P6" s="32">
        <v>0</v>
      </c>
      <c r="Q6" s="27" t="s">
        <v>25</v>
      </c>
      <c r="R6" s="27" t="s">
        <v>759</v>
      </c>
      <c r="S6" s="25">
        <v>2026</v>
      </c>
      <c r="T6" s="29">
        <v>46295</v>
      </c>
      <c r="U6" s="28">
        <v>0.81</v>
      </c>
      <c r="V6" s="28">
        <v>0.18999999999999995</v>
      </c>
      <c r="W6" s="31">
        <f>SUM(U6:V6)</f>
        <v>1</v>
      </c>
      <c r="X6" s="28">
        <v>0.05</v>
      </c>
      <c r="Y6" s="28">
        <v>0</v>
      </c>
      <c r="Z6" s="28">
        <v>6.8000000000000005E-2</v>
      </c>
      <c r="AA6" s="47">
        <v>0.19800000000000001</v>
      </c>
      <c r="AB6" s="28"/>
      <c r="AC6" s="45">
        <v>169349</v>
      </c>
      <c r="AD6" s="29"/>
      <c r="AE6" s="17">
        <f>P6/10^6</f>
        <v>0</v>
      </c>
      <c r="AF6" s="47">
        <f>IF(AL6=0,0,AE6/AL6)</f>
        <v>0</v>
      </c>
      <c r="AG6" s="49">
        <f>(AH6*AI6*AJ6)/10^6</f>
        <v>22.567972000000001</v>
      </c>
      <c r="AH6" s="17">
        <v>133</v>
      </c>
      <c r="AI6" s="17">
        <v>236</v>
      </c>
      <c r="AJ6" s="17">
        <v>719</v>
      </c>
      <c r="AK6" s="17">
        <v>450</v>
      </c>
      <c r="AL6" s="49">
        <f>(AK6*AJ6*AI6)/10^6</f>
        <v>76.357799999999997</v>
      </c>
      <c r="AM6" s="49">
        <f>AL6*U6</f>
        <v>61.849817999999999</v>
      </c>
      <c r="AN6" s="30">
        <v>90000</v>
      </c>
      <c r="AO6" s="51">
        <f>AH6*AI6</f>
        <v>31388</v>
      </c>
      <c r="AP6" s="53">
        <f>U6+AB6</f>
        <v>0.81</v>
      </c>
      <c r="AQ6" s="54">
        <f>AL6*AP6/(AG6+AE6)</f>
        <v>2.7406015037593985</v>
      </c>
      <c r="AR6" s="18" t="s">
        <v>783</v>
      </c>
    </row>
    <row r="7" spans="1:147" s="148" customFormat="1" ht="12.5">
      <c r="A7" s="76" t="s">
        <v>556</v>
      </c>
      <c r="B7" s="62" t="s">
        <v>545</v>
      </c>
      <c r="C7" s="62"/>
      <c r="D7" s="64">
        <v>1</v>
      </c>
      <c r="E7" s="65" t="s">
        <v>740</v>
      </c>
      <c r="F7" s="61"/>
      <c r="G7" s="66">
        <v>2588</v>
      </c>
      <c r="H7" s="61"/>
      <c r="I7" s="61"/>
      <c r="J7" s="60"/>
      <c r="K7" s="94" t="s">
        <v>159</v>
      </c>
      <c r="L7" s="94" t="s">
        <v>166</v>
      </c>
      <c r="M7" s="95" t="s">
        <v>577</v>
      </c>
      <c r="N7" s="94" t="s">
        <v>545</v>
      </c>
      <c r="O7" s="94" t="s">
        <v>756</v>
      </c>
      <c r="P7" s="93">
        <v>10682.93</v>
      </c>
      <c r="Q7" s="137" t="s">
        <v>25</v>
      </c>
      <c r="R7" s="137" t="s">
        <v>26</v>
      </c>
      <c r="S7" s="95">
        <v>2027</v>
      </c>
      <c r="T7" s="138" t="s">
        <v>26</v>
      </c>
      <c r="U7" s="139">
        <v>0.7</v>
      </c>
      <c r="V7" s="139">
        <v>0.3</v>
      </c>
      <c r="W7" s="140">
        <f t="shared" ref="W7:W38" si="0">SUM(U7:V7)</f>
        <v>1</v>
      </c>
      <c r="X7" s="139"/>
      <c r="Y7" s="139"/>
      <c r="Z7" s="139"/>
      <c r="AA7" s="141">
        <v>0.19800000000000001</v>
      </c>
      <c r="AB7" s="139"/>
      <c r="AC7" s="96">
        <v>998700</v>
      </c>
      <c r="AD7" s="138"/>
      <c r="AE7" s="142">
        <f t="shared" ref="AE7:AE38" si="1">P7/10^6</f>
        <v>1.068293E-2</v>
      </c>
      <c r="AF7" s="141">
        <f t="shared" ref="AF7:AF38" si="2">IF(AL7=0,0,AE7/AL7)</f>
        <v>4.7606639928698754E-5</v>
      </c>
      <c r="AG7" s="142">
        <f t="shared" ref="AG7:AG38" si="3">(AH7*AI7*AJ7)/10^6</f>
        <v>74.613</v>
      </c>
      <c r="AH7" s="142">
        <v>133</v>
      </c>
      <c r="AI7" s="142">
        <v>250</v>
      </c>
      <c r="AJ7" s="142">
        <v>2244</v>
      </c>
      <c r="AK7" s="142">
        <v>400</v>
      </c>
      <c r="AL7" s="142">
        <f t="shared" ref="AL7:AL38" si="4">(AK7*AJ7*AI7)/10^6</f>
        <v>224.4</v>
      </c>
      <c r="AM7" s="142">
        <f t="shared" ref="AM7:AM38" si="5">AL7*U7</f>
        <v>157.07999999999998</v>
      </c>
      <c r="AN7" s="143">
        <f t="shared" ref="AN7:AN38" si="6">AI7*AK7</f>
        <v>100000</v>
      </c>
      <c r="AO7" s="143">
        <f t="shared" ref="AO7:AO38" si="7">AH7*AI7</f>
        <v>33250</v>
      </c>
      <c r="AP7" s="144">
        <f t="shared" ref="AP7:AP38" si="8">U7+AB7</f>
        <v>0.7</v>
      </c>
      <c r="AQ7" s="145">
        <f t="shared" ref="AQ7:AQ38" si="9">AL7*AP7/(AG7+AE7)</f>
        <v>2.1049617739631974</v>
      </c>
      <c r="AR7" s="146" t="s">
        <v>783</v>
      </c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X7" s="147"/>
      <c r="BY7" s="147"/>
      <c r="BZ7" s="147"/>
      <c r="CA7" s="147"/>
      <c r="CB7" s="147"/>
      <c r="CC7" s="147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47"/>
      <c r="CW7" s="147"/>
      <c r="CX7" s="147"/>
      <c r="CY7" s="147"/>
      <c r="CZ7" s="147"/>
      <c r="DA7" s="147"/>
      <c r="DB7" s="147"/>
      <c r="DC7" s="147"/>
      <c r="DD7" s="147"/>
      <c r="DE7" s="147"/>
      <c r="DF7" s="147"/>
      <c r="DG7" s="147"/>
      <c r="DH7" s="147"/>
      <c r="DI7" s="147"/>
      <c r="DJ7" s="147"/>
      <c r="DK7" s="147"/>
      <c r="DL7" s="147"/>
      <c r="DM7" s="147"/>
      <c r="DN7" s="147"/>
      <c r="DO7" s="147"/>
      <c r="DP7" s="147"/>
      <c r="DQ7" s="147"/>
      <c r="DR7" s="147"/>
      <c r="DS7" s="147"/>
      <c r="DT7" s="147"/>
      <c r="DU7" s="147"/>
      <c r="DV7" s="147"/>
      <c r="DW7" s="147"/>
      <c r="DX7" s="147"/>
      <c r="DY7" s="147"/>
      <c r="DZ7" s="147"/>
      <c r="EA7" s="147"/>
      <c r="EB7" s="147"/>
      <c r="EC7" s="147"/>
      <c r="ED7" s="147"/>
      <c r="EE7" s="147"/>
      <c r="EF7" s="147"/>
      <c r="EG7" s="147"/>
      <c r="EH7" s="147"/>
      <c r="EI7" s="147"/>
      <c r="EJ7" s="147"/>
      <c r="EK7" s="147"/>
      <c r="EL7" s="147"/>
      <c r="EM7" s="147"/>
      <c r="EN7" s="147"/>
      <c r="EO7" s="147"/>
      <c r="EP7" s="147"/>
      <c r="EQ7" s="147"/>
    </row>
    <row r="8" spans="1:147" s="120" customFormat="1" ht="12.5">
      <c r="A8" s="62" t="s">
        <v>512</v>
      </c>
      <c r="B8" s="62" t="s">
        <v>296</v>
      </c>
      <c r="C8" s="63" t="s">
        <v>341</v>
      </c>
      <c r="D8" s="64">
        <v>1</v>
      </c>
      <c r="E8" s="65" t="s">
        <v>740</v>
      </c>
      <c r="F8" s="61"/>
      <c r="G8" s="66">
        <v>2107</v>
      </c>
      <c r="H8" s="61"/>
      <c r="I8" s="61"/>
      <c r="J8" s="60">
        <v>341</v>
      </c>
      <c r="K8" s="77" t="s">
        <v>159</v>
      </c>
      <c r="L8" s="77" t="s">
        <v>166</v>
      </c>
      <c r="M8" s="78" t="s">
        <v>577</v>
      </c>
      <c r="N8" s="77" t="s">
        <v>165</v>
      </c>
      <c r="O8" s="77" t="s">
        <v>756</v>
      </c>
      <c r="P8" s="79">
        <v>10682.93</v>
      </c>
      <c r="Q8" s="80" t="s">
        <v>25</v>
      </c>
      <c r="R8" s="80" t="s">
        <v>759</v>
      </c>
      <c r="S8" s="78">
        <v>2029</v>
      </c>
      <c r="T8" s="81">
        <v>47483</v>
      </c>
      <c r="U8" s="82">
        <v>0.7</v>
      </c>
      <c r="V8" s="82">
        <v>0.30000000000000004</v>
      </c>
      <c r="W8" s="83">
        <f t="shared" si="0"/>
        <v>1</v>
      </c>
      <c r="X8" s="82">
        <v>0.05</v>
      </c>
      <c r="Y8" s="82">
        <v>9.0000000000000011E-2</v>
      </c>
      <c r="Z8" s="82">
        <v>6.8000000000000005E-2</v>
      </c>
      <c r="AA8" s="84">
        <v>0.19800000000000001</v>
      </c>
      <c r="AB8" s="82"/>
      <c r="AC8" s="85">
        <f t="shared" ref="AC8:AC15" si="10">AI8*AJ8</f>
        <v>279716.50930000003</v>
      </c>
      <c r="AD8" s="81"/>
      <c r="AE8" s="86">
        <f t="shared" si="1"/>
        <v>1.068293E-2</v>
      </c>
      <c r="AF8" s="84">
        <f t="shared" si="2"/>
        <v>7.6383979098941249E-5</v>
      </c>
      <c r="AG8" s="87">
        <f t="shared" si="3"/>
        <v>37.202295736899998</v>
      </c>
      <c r="AH8" s="86">
        <v>133</v>
      </c>
      <c r="AI8" s="86">
        <v>324.12110000000001</v>
      </c>
      <c r="AJ8" s="86">
        <v>863</v>
      </c>
      <c r="AK8" s="86">
        <v>499.99999999999994</v>
      </c>
      <c r="AL8" s="87">
        <f t="shared" si="4"/>
        <v>139.85825464999996</v>
      </c>
      <c r="AM8" s="87">
        <f t="shared" si="5"/>
        <v>97.900778254999963</v>
      </c>
      <c r="AN8" s="88">
        <f t="shared" si="6"/>
        <v>162060.54999999999</v>
      </c>
      <c r="AO8" s="88">
        <f t="shared" si="7"/>
        <v>43108.106299999999</v>
      </c>
      <c r="AP8" s="89">
        <f t="shared" si="8"/>
        <v>0.7</v>
      </c>
      <c r="AQ8" s="90">
        <f t="shared" si="9"/>
        <v>2.6308234858415198</v>
      </c>
      <c r="AR8" s="91" t="s">
        <v>783</v>
      </c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</row>
    <row r="9" spans="1:147" s="59" customFormat="1" ht="12.5" hidden="1">
      <c r="A9" s="62" t="s">
        <v>463</v>
      </c>
      <c r="B9" s="62" t="s">
        <v>628</v>
      </c>
      <c r="C9" s="63" t="s">
        <v>378</v>
      </c>
      <c r="D9" s="64">
        <v>1</v>
      </c>
      <c r="E9" s="65" t="s">
        <v>740</v>
      </c>
      <c r="F9" s="61"/>
      <c r="G9" s="66">
        <v>2277</v>
      </c>
      <c r="H9" s="61"/>
      <c r="I9" s="61"/>
      <c r="J9" s="60">
        <v>241</v>
      </c>
      <c r="K9" s="77" t="s">
        <v>103</v>
      </c>
      <c r="L9" s="77" t="s">
        <v>584</v>
      </c>
      <c r="M9" s="78" t="s">
        <v>583</v>
      </c>
      <c r="N9" s="77" t="s">
        <v>45</v>
      </c>
      <c r="O9" s="77" t="s">
        <v>760</v>
      </c>
      <c r="P9" s="79">
        <v>0</v>
      </c>
      <c r="Q9" s="80" t="s">
        <v>25</v>
      </c>
      <c r="R9" s="80" t="s">
        <v>759</v>
      </c>
      <c r="S9" s="78">
        <v>2029</v>
      </c>
      <c r="T9" s="81">
        <v>47482</v>
      </c>
      <c r="U9" s="82">
        <v>0.55000000000000004</v>
      </c>
      <c r="V9" s="82">
        <v>0.40001999999999993</v>
      </c>
      <c r="W9" s="83">
        <f t="shared" si="0"/>
        <v>0.95001999999999998</v>
      </c>
      <c r="X9" s="82">
        <v>0.05</v>
      </c>
      <c r="Y9" s="82">
        <v>9.0000000000000011E-2</v>
      </c>
      <c r="Z9" s="82">
        <v>6.8000000000000005E-2</v>
      </c>
      <c r="AA9" s="84">
        <v>0.19800000000000001</v>
      </c>
      <c r="AB9" s="82">
        <v>4.9980000000000024E-2</v>
      </c>
      <c r="AC9" s="85">
        <f t="shared" si="10"/>
        <v>268822.81</v>
      </c>
      <c r="AD9" s="81"/>
      <c r="AE9" s="86">
        <f t="shared" si="1"/>
        <v>0</v>
      </c>
      <c r="AF9" s="84">
        <f t="shared" si="2"/>
        <v>0</v>
      </c>
      <c r="AG9" s="87">
        <f t="shared" si="3"/>
        <v>43.818118030000001</v>
      </c>
      <c r="AH9" s="86">
        <v>163</v>
      </c>
      <c r="AI9" s="86">
        <v>218.73296175752645</v>
      </c>
      <c r="AJ9" s="86">
        <v>1229</v>
      </c>
      <c r="AK9" s="86">
        <v>550</v>
      </c>
      <c r="AL9" s="87">
        <f t="shared" si="4"/>
        <v>147.85254549999999</v>
      </c>
      <c r="AM9" s="87">
        <f t="shared" si="5"/>
        <v>81.318900025000005</v>
      </c>
      <c r="AN9" s="88">
        <f t="shared" si="6"/>
        <v>120303.12896663955</v>
      </c>
      <c r="AO9" s="88">
        <f t="shared" si="7"/>
        <v>35653.472766476814</v>
      </c>
      <c r="AP9" s="89">
        <f t="shared" si="8"/>
        <v>0.59998000000000007</v>
      </c>
      <c r="AQ9" s="90">
        <f t="shared" si="9"/>
        <v>2.024472392638037</v>
      </c>
      <c r="AR9" s="91" t="s">
        <v>783</v>
      </c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</row>
    <row r="10" spans="1:147" s="120" customFormat="1" ht="12.5" hidden="1">
      <c r="A10" s="62" t="s">
        <v>449</v>
      </c>
      <c r="B10" s="62" t="s">
        <v>247</v>
      </c>
      <c r="C10" s="63" t="s">
        <v>388</v>
      </c>
      <c r="D10" s="64">
        <v>1</v>
      </c>
      <c r="E10" s="65" t="s">
        <v>740</v>
      </c>
      <c r="F10" s="61"/>
      <c r="G10" s="66">
        <v>2288</v>
      </c>
      <c r="H10" s="61"/>
      <c r="I10" s="61"/>
      <c r="J10" s="60">
        <v>214</v>
      </c>
      <c r="K10" s="77" t="s">
        <v>103</v>
      </c>
      <c r="L10" s="77" t="s">
        <v>104</v>
      </c>
      <c r="M10" s="78" t="s">
        <v>572</v>
      </c>
      <c r="N10" s="77" t="s">
        <v>45</v>
      </c>
      <c r="O10" s="77" t="s">
        <v>760</v>
      </c>
      <c r="P10" s="79">
        <v>0</v>
      </c>
      <c r="Q10" s="80" t="s">
        <v>25</v>
      </c>
      <c r="R10" s="80" t="s">
        <v>26</v>
      </c>
      <c r="S10" s="78">
        <v>2029</v>
      </c>
      <c r="T10" s="81">
        <v>47391</v>
      </c>
      <c r="U10" s="82">
        <v>0.45834999999999998</v>
      </c>
      <c r="V10" s="82">
        <v>0.5</v>
      </c>
      <c r="W10" s="83">
        <f t="shared" si="0"/>
        <v>0.95835000000000004</v>
      </c>
      <c r="X10" s="82">
        <v>0.05</v>
      </c>
      <c r="Y10" s="82">
        <v>0</v>
      </c>
      <c r="Z10" s="82">
        <v>6.8000000000000005E-2</v>
      </c>
      <c r="AA10" s="84">
        <v>0.19800000000000001</v>
      </c>
      <c r="AB10" s="82">
        <v>4.1649999999999965E-2</v>
      </c>
      <c r="AC10" s="85">
        <f t="shared" si="10"/>
        <v>232564</v>
      </c>
      <c r="AD10" s="81"/>
      <c r="AE10" s="86">
        <f t="shared" si="1"/>
        <v>0</v>
      </c>
      <c r="AF10" s="84">
        <f t="shared" si="2"/>
        <v>0</v>
      </c>
      <c r="AG10" s="87">
        <f t="shared" si="3"/>
        <v>37.907932000000002</v>
      </c>
      <c r="AH10" s="86">
        <v>163</v>
      </c>
      <c r="AI10" s="86">
        <v>212</v>
      </c>
      <c r="AJ10" s="86">
        <v>1097</v>
      </c>
      <c r="AK10" s="86">
        <v>550</v>
      </c>
      <c r="AL10" s="87">
        <f t="shared" si="4"/>
        <v>127.9102</v>
      </c>
      <c r="AM10" s="87">
        <f t="shared" si="5"/>
        <v>58.627640169999999</v>
      </c>
      <c r="AN10" s="88">
        <f t="shared" si="6"/>
        <v>116600</v>
      </c>
      <c r="AO10" s="88">
        <f t="shared" si="7"/>
        <v>34556</v>
      </c>
      <c r="AP10" s="89">
        <f t="shared" si="8"/>
        <v>0.49999999999999994</v>
      </c>
      <c r="AQ10" s="90">
        <f t="shared" si="9"/>
        <v>1.6871165644171777</v>
      </c>
      <c r="AR10" s="91" t="s">
        <v>783</v>
      </c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</row>
    <row r="11" spans="1:147" s="59" customFormat="1" ht="12.5" hidden="1">
      <c r="A11" s="103" t="s">
        <v>456</v>
      </c>
      <c r="B11" s="103" t="s">
        <v>639</v>
      </c>
      <c r="C11" s="104" t="s">
        <v>382</v>
      </c>
      <c r="D11" s="33">
        <v>1</v>
      </c>
      <c r="E11" s="34" t="s">
        <v>740</v>
      </c>
      <c r="F11" s="35"/>
      <c r="G11" s="36">
        <v>2278</v>
      </c>
      <c r="H11" s="35"/>
      <c r="I11" s="35"/>
      <c r="J11" s="37">
        <v>226</v>
      </c>
      <c r="K11" s="105" t="s">
        <v>103</v>
      </c>
      <c r="L11" s="105" t="s">
        <v>582</v>
      </c>
      <c r="M11" s="106" t="s">
        <v>574</v>
      </c>
      <c r="N11" s="105" t="s">
        <v>102</v>
      </c>
      <c r="O11" s="105" t="s">
        <v>760</v>
      </c>
      <c r="P11" s="107">
        <v>0</v>
      </c>
      <c r="Q11" s="108" t="s">
        <v>25</v>
      </c>
      <c r="R11" s="108" t="s">
        <v>759</v>
      </c>
      <c r="S11" s="106">
        <v>2029</v>
      </c>
      <c r="T11" s="109">
        <v>47483</v>
      </c>
      <c r="U11" s="110">
        <v>0.59585500000000002</v>
      </c>
      <c r="V11" s="110">
        <v>0.35</v>
      </c>
      <c r="W11" s="111">
        <f t="shared" si="0"/>
        <v>0.945855</v>
      </c>
      <c r="X11" s="110">
        <v>0.05</v>
      </c>
      <c r="Y11" s="110">
        <v>9.0000000000000011E-2</v>
      </c>
      <c r="Z11" s="110">
        <v>6.8000000000000005E-2</v>
      </c>
      <c r="AA11" s="112">
        <v>0.19800000000000001</v>
      </c>
      <c r="AB11" s="110">
        <v>5.4144999999999999E-2</v>
      </c>
      <c r="AC11" s="113">
        <f t="shared" si="10"/>
        <v>202308</v>
      </c>
      <c r="AD11" s="109"/>
      <c r="AE11" s="114">
        <f t="shared" si="1"/>
        <v>0</v>
      </c>
      <c r="AF11" s="112">
        <f t="shared" si="2"/>
        <v>0</v>
      </c>
      <c r="AG11" s="115">
        <f t="shared" si="3"/>
        <v>32.976204000000003</v>
      </c>
      <c r="AH11" s="114">
        <v>163</v>
      </c>
      <c r="AI11" s="114">
        <v>276</v>
      </c>
      <c r="AJ11" s="114">
        <v>733</v>
      </c>
      <c r="AK11" s="114">
        <v>715</v>
      </c>
      <c r="AL11" s="115">
        <f t="shared" si="4"/>
        <v>144.65021999999999</v>
      </c>
      <c r="AM11" s="115">
        <f t="shared" si="5"/>
        <v>86.190556838099994</v>
      </c>
      <c r="AN11" s="116">
        <f t="shared" si="6"/>
        <v>197340</v>
      </c>
      <c r="AO11" s="116">
        <f t="shared" si="7"/>
        <v>44988</v>
      </c>
      <c r="AP11" s="117">
        <f t="shared" si="8"/>
        <v>0.65</v>
      </c>
      <c r="AQ11" s="118">
        <f t="shared" si="9"/>
        <v>2.8512269938650303</v>
      </c>
      <c r="AR11" s="119" t="s">
        <v>783</v>
      </c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</row>
    <row r="12" spans="1:147" s="120" customFormat="1" ht="12.5" hidden="1">
      <c r="A12" s="103" t="s">
        <v>452</v>
      </c>
      <c r="B12" s="103" t="s">
        <v>250</v>
      </c>
      <c r="C12" s="104" t="s">
        <v>385</v>
      </c>
      <c r="D12" s="33">
        <v>1</v>
      </c>
      <c r="E12" s="34" t="s">
        <v>740</v>
      </c>
      <c r="F12" s="35"/>
      <c r="G12" s="36">
        <v>2284</v>
      </c>
      <c r="H12" s="35"/>
      <c r="I12" s="35"/>
      <c r="J12" s="37">
        <v>219</v>
      </c>
      <c r="K12" s="105" t="s">
        <v>103</v>
      </c>
      <c r="L12" s="105" t="s">
        <v>107</v>
      </c>
      <c r="M12" s="106" t="s">
        <v>573</v>
      </c>
      <c r="N12" s="105" t="s">
        <v>109</v>
      </c>
      <c r="O12" s="105" t="s">
        <v>760</v>
      </c>
      <c r="P12" s="107">
        <v>0</v>
      </c>
      <c r="Q12" s="108" t="s">
        <v>25</v>
      </c>
      <c r="R12" s="108" t="s">
        <v>26</v>
      </c>
      <c r="S12" s="106">
        <v>2029</v>
      </c>
      <c r="T12" s="109">
        <v>47299</v>
      </c>
      <c r="U12" s="110">
        <v>0.50418499999999999</v>
      </c>
      <c r="V12" s="110">
        <v>0.44999999999999996</v>
      </c>
      <c r="W12" s="111">
        <f t="shared" si="0"/>
        <v>0.95418499999999995</v>
      </c>
      <c r="X12" s="110">
        <v>0.05</v>
      </c>
      <c r="Y12" s="110">
        <v>9.0000000000000011E-2</v>
      </c>
      <c r="Z12" s="110">
        <v>6.8000000000000005E-2</v>
      </c>
      <c r="AA12" s="112">
        <v>0.19800000000000001</v>
      </c>
      <c r="AB12" s="110">
        <v>4.581500000000005E-2</v>
      </c>
      <c r="AC12" s="113">
        <f t="shared" si="10"/>
        <v>411540</v>
      </c>
      <c r="AD12" s="109"/>
      <c r="AE12" s="114">
        <f t="shared" si="1"/>
        <v>0</v>
      </c>
      <c r="AF12" s="112">
        <f t="shared" si="2"/>
        <v>0</v>
      </c>
      <c r="AG12" s="115">
        <f t="shared" si="3"/>
        <v>69.961799999999997</v>
      </c>
      <c r="AH12" s="114">
        <v>170</v>
      </c>
      <c r="AI12" s="114">
        <v>361</v>
      </c>
      <c r="AJ12" s="114">
        <v>1140</v>
      </c>
      <c r="AK12" s="114">
        <v>650</v>
      </c>
      <c r="AL12" s="115">
        <f t="shared" si="4"/>
        <v>267.50099999999998</v>
      </c>
      <c r="AM12" s="115">
        <f t="shared" si="5"/>
        <v>134.86999168499997</v>
      </c>
      <c r="AN12" s="116">
        <f t="shared" si="6"/>
        <v>234650</v>
      </c>
      <c r="AO12" s="116">
        <f t="shared" si="7"/>
        <v>61370</v>
      </c>
      <c r="AP12" s="117">
        <f t="shared" si="8"/>
        <v>0.55000000000000004</v>
      </c>
      <c r="AQ12" s="118">
        <f t="shared" si="9"/>
        <v>2.1029411764705883</v>
      </c>
      <c r="AR12" s="119" t="s">
        <v>783</v>
      </c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</row>
    <row r="13" spans="1:147" s="59" customFormat="1" ht="12.5" hidden="1">
      <c r="A13" s="103" t="s">
        <v>454</v>
      </c>
      <c r="B13" s="103" t="s">
        <v>254</v>
      </c>
      <c r="C13" s="104" t="s">
        <v>26</v>
      </c>
      <c r="D13" s="33">
        <v>1</v>
      </c>
      <c r="E13" s="34" t="s">
        <v>740</v>
      </c>
      <c r="F13" s="35"/>
      <c r="G13" s="36">
        <v>2273</v>
      </c>
      <c r="H13" s="35"/>
      <c r="I13" s="35"/>
      <c r="J13" s="37">
        <v>223</v>
      </c>
      <c r="K13" s="105" t="s">
        <v>103</v>
      </c>
      <c r="L13" s="105" t="s">
        <v>112</v>
      </c>
      <c r="M13" s="106" t="s">
        <v>574</v>
      </c>
      <c r="N13" s="105" t="s">
        <v>46</v>
      </c>
      <c r="O13" s="105" t="s">
        <v>757</v>
      </c>
      <c r="P13" s="107">
        <v>166667</v>
      </c>
      <c r="Q13" s="108" t="s">
        <v>25</v>
      </c>
      <c r="R13" s="108" t="s">
        <v>26</v>
      </c>
      <c r="S13" s="106">
        <v>2029</v>
      </c>
      <c r="T13" s="109">
        <v>47207</v>
      </c>
      <c r="U13" s="110">
        <v>0.64168999999999998</v>
      </c>
      <c r="V13" s="110">
        <v>0.30000000000000004</v>
      </c>
      <c r="W13" s="111">
        <f t="shared" si="0"/>
        <v>0.94169000000000003</v>
      </c>
      <c r="X13" s="110">
        <v>0.05</v>
      </c>
      <c r="Y13" s="110">
        <v>9.0000000000000011E-2</v>
      </c>
      <c r="Z13" s="110">
        <v>6.8000000000000005E-2</v>
      </c>
      <c r="AA13" s="112">
        <v>0.19800000000000001</v>
      </c>
      <c r="AB13" s="110">
        <v>5.8309999999999973E-2</v>
      </c>
      <c r="AC13" s="113">
        <f t="shared" si="10"/>
        <v>262200</v>
      </c>
      <c r="AD13" s="109"/>
      <c r="AE13" s="114">
        <f t="shared" si="1"/>
        <v>0.16666700000000001</v>
      </c>
      <c r="AF13" s="112">
        <f t="shared" si="2"/>
        <v>7.9456045003813895E-4</v>
      </c>
      <c r="AG13" s="115">
        <f t="shared" si="3"/>
        <v>42.738599999999998</v>
      </c>
      <c r="AH13" s="114">
        <v>163</v>
      </c>
      <c r="AI13" s="114">
        <v>230</v>
      </c>
      <c r="AJ13" s="114">
        <v>1140</v>
      </c>
      <c r="AK13" s="114">
        <v>800</v>
      </c>
      <c r="AL13" s="115">
        <f t="shared" si="4"/>
        <v>209.76</v>
      </c>
      <c r="AM13" s="115">
        <f t="shared" si="5"/>
        <v>134.60089439999999</v>
      </c>
      <c r="AN13" s="116">
        <f t="shared" si="6"/>
        <v>184000</v>
      </c>
      <c r="AO13" s="116">
        <f t="shared" si="7"/>
        <v>37490</v>
      </c>
      <c r="AP13" s="117">
        <f t="shared" si="8"/>
        <v>0.7</v>
      </c>
      <c r="AQ13" s="118">
        <f t="shared" si="9"/>
        <v>3.4222371812766021</v>
      </c>
      <c r="AR13" s="119" t="s">
        <v>783</v>
      </c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</row>
    <row r="14" spans="1:147" s="120" customFormat="1" ht="12.5" hidden="1">
      <c r="A14" s="103" t="s">
        <v>456</v>
      </c>
      <c r="B14" s="103" t="s">
        <v>641</v>
      </c>
      <c r="C14" s="104" t="s">
        <v>382</v>
      </c>
      <c r="D14" s="33">
        <v>1</v>
      </c>
      <c r="E14" s="34" t="s">
        <v>740</v>
      </c>
      <c r="F14" s="35"/>
      <c r="G14" s="36">
        <v>2278</v>
      </c>
      <c r="H14" s="35"/>
      <c r="I14" s="35"/>
      <c r="J14" s="37">
        <v>228</v>
      </c>
      <c r="K14" s="105" t="s">
        <v>103</v>
      </c>
      <c r="L14" s="105" t="s">
        <v>582</v>
      </c>
      <c r="M14" s="106" t="s">
        <v>574</v>
      </c>
      <c r="N14" s="105" t="s">
        <v>45</v>
      </c>
      <c r="O14" s="105" t="s">
        <v>760</v>
      </c>
      <c r="P14" s="107">
        <v>0</v>
      </c>
      <c r="Q14" s="108" t="s">
        <v>25</v>
      </c>
      <c r="R14" s="108" t="s">
        <v>26</v>
      </c>
      <c r="S14" s="106">
        <v>2029</v>
      </c>
      <c r="T14" s="109">
        <v>47483</v>
      </c>
      <c r="U14" s="110">
        <v>0.59585500000000002</v>
      </c>
      <c r="V14" s="110">
        <v>0.35</v>
      </c>
      <c r="W14" s="111">
        <f t="shared" si="0"/>
        <v>0.945855</v>
      </c>
      <c r="X14" s="110">
        <v>0.05</v>
      </c>
      <c r="Y14" s="110">
        <v>9.0000000000000011E-2</v>
      </c>
      <c r="Z14" s="110">
        <v>6.8000000000000005E-2</v>
      </c>
      <c r="AA14" s="112">
        <v>0.19800000000000001</v>
      </c>
      <c r="AB14" s="110">
        <v>5.4144999999999999E-2</v>
      </c>
      <c r="AC14" s="113">
        <f t="shared" si="10"/>
        <v>220800</v>
      </c>
      <c r="AD14" s="109"/>
      <c r="AE14" s="114">
        <f t="shared" si="1"/>
        <v>0</v>
      </c>
      <c r="AF14" s="112">
        <f t="shared" si="2"/>
        <v>0</v>
      </c>
      <c r="AG14" s="115">
        <f t="shared" si="3"/>
        <v>35.990400000000001</v>
      </c>
      <c r="AH14" s="114">
        <v>163</v>
      </c>
      <c r="AI14" s="114">
        <v>276</v>
      </c>
      <c r="AJ14" s="114">
        <v>800</v>
      </c>
      <c r="AK14" s="114">
        <v>650</v>
      </c>
      <c r="AL14" s="115">
        <f t="shared" si="4"/>
        <v>143.52000000000001</v>
      </c>
      <c r="AM14" s="115">
        <f t="shared" si="5"/>
        <v>85.517109600000012</v>
      </c>
      <c r="AN14" s="116">
        <f t="shared" si="6"/>
        <v>179400</v>
      </c>
      <c r="AO14" s="116">
        <f t="shared" si="7"/>
        <v>44988</v>
      </c>
      <c r="AP14" s="117">
        <f t="shared" si="8"/>
        <v>0.65</v>
      </c>
      <c r="AQ14" s="118">
        <f t="shared" si="9"/>
        <v>2.592024539877301</v>
      </c>
      <c r="AR14" s="119" t="s">
        <v>783</v>
      </c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</row>
    <row r="15" spans="1:147" s="59" customFormat="1" ht="12.5" hidden="1">
      <c r="A15" s="103" t="s">
        <v>458</v>
      </c>
      <c r="B15" s="103" t="s">
        <v>258</v>
      </c>
      <c r="C15" s="104" t="s">
        <v>381</v>
      </c>
      <c r="D15" s="33">
        <v>1</v>
      </c>
      <c r="E15" s="34" t="s">
        <v>740</v>
      </c>
      <c r="F15" s="35"/>
      <c r="G15" s="36">
        <v>2276</v>
      </c>
      <c r="H15" s="35"/>
      <c r="I15" s="35"/>
      <c r="J15" s="37">
        <v>232</v>
      </c>
      <c r="K15" s="105" t="s">
        <v>103</v>
      </c>
      <c r="L15" s="105" t="s">
        <v>115</v>
      </c>
      <c r="M15" s="106" t="s">
        <v>574</v>
      </c>
      <c r="N15" s="105" t="s">
        <v>24</v>
      </c>
      <c r="O15" s="105" t="s">
        <v>756</v>
      </c>
      <c r="P15" s="107">
        <v>6273440.5999999996</v>
      </c>
      <c r="Q15" s="108" t="s">
        <v>25</v>
      </c>
      <c r="R15" s="108" t="s">
        <v>26</v>
      </c>
      <c r="S15" s="106">
        <v>2029</v>
      </c>
      <c r="T15" s="109">
        <v>47391</v>
      </c>
      <c r="U15" s="110">
        <v>0.57336200000000004</v>
      </c>
      <c r="V15" s="110">
        <v>0.1399999999999999</v>
      </c>
      <c r="W15" s="111">
        <f t="shared" si="0"/>
        <v>0.71336199999999994</v>
      </c>
      <c r="X15" s="110">
        <v>0.05</v>
      </c>
      <c r="Y15" s="110">
        <v>0</v>
      </c>
      <c r="Z15" s="110">
        <v>6.8000000000000005E-2</v>
      </c>
      <c r="AA15" s="112">
        <v>0.19800000000000001</v>
      </c>
      <c r="AB15" s="110">
        <v>0.28663800000000006</v>
      </c>
      <c r="AC15" s="113">
        <f t="shared" si="10"/>
        <v>95400</v>
      </c>
      <c r="AD15" s="109"/>
      <c r="AE15" s="114">
        <f t="shared" si="1"/>
        <v>6.2734405999999998</v>
      </c>
      <c r="AF15" s="112">
        <f t="shared" si="2"/>
        <v>0.10959889238294898</v>
      </c>
      <c r="AG15" s="115">
        <f t="shared" si="3"/>
        <v>15.5502</v>
      </c>
      <c r="AH15" s="114">
        <v>163</v>
      </c>
      <c r="AI15" s="114">
        <v>180</v>
      </c>
      <c r="AJ15" s="114">
        <v>530</v>
      </c>
      <c r="AK15" s="114">
        <v>600</v>
      </c>
      <c r="AL15" s="115">
        <f t="shared" si="4"/>
        <v>57.24</v>
      </c>
      <c r="AM15" s="115">
        <f t="shared" si="5"/>
        <v>32.819240880000002</v>
      </c>
      <c r="AN15" s="116">
        <f t="shared" si="6"/>
        <v>108000</v>
      </c>
      <c r="AO15" s="116">
        <f t="shared" si="7"/>
        <v>29340</v>
      </c>
      <c r="AP15" s="117">
        <f t="shared" si="8"/>
        <v>0.8600000000000001</v>
      </c>
      <c r="AQ15" s="118">
        <f t="shared" si="9"/>
        <v>2.2556456506161489</v>
      </c>
      <c r="AR15" s="119" t="s">
        <v>783</v>
      </c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</row>
    <row r="16" spans="1:147" s="120" customFormat="1" ht="12.5" hidden="1">
      <c r="A16" s="62" t="s">
        <v>460</v>
      </c>
      <c r="B16" s="62" t="s">
        <v>261</v>
      </c>
      <c r="C16" s="63" t="s">
        <v>380</v>
      </c>
      <c r="D16" s="64">
        <v>1</v>
      </c>
      <c r="E16" s="65" t="s">
        <v>740</v>
      </c>
      <c r="F16" s="61"/>
      <c r="G16" s="66">
        <v>2287</v>
      </c>
      <c r="H16" s="61"/>
      <c r="I16" s="61"/>
      <c r="J16" s="60">
        <v>235</v>
      </c>
      <c r="K16" s="77" t="s">
        <v>103</v>
      </c>
      <c r="L16" s="77" t="s">
        <v>117</v>
      </c>
      <c r="M16" s="78" t="s">
        <v>574</v>
      </c>
      <c r="N16" s="77" t="s">
        <v>46</v>
      </c>
      <c r="O16" s="77" t="s">
        <v>760</v>
      </c>
      <c r="P16" s="79">
        <v>0</v>
      </c>
      <c r="Q16" s="80" t="s">
        <v>25</v>
      </c>
      <c r="R16" s="80" t="s">
        <v>26</v>
      </c>
      <c r="S16" s="78">
        <v>2029</v>
      </c>
      <c r="T16" s="81">
        <v>47483</v>
      </c>
      <c r="U16" s="82">
        <v>0.46668999999999994</v>
      </c>
      <c r="V16" s="82">
        <v>0.30000000000000004</v>
      </c>
      <c r="W16" s="83">
        <f t="shared" si="0"/>
        <v>0.76668999999999998</v>
      </c>
      <c r="X16" s="82">
        <v>0.05</v>
      </c>
      <c r="Y16" s="82">
        <v>9.0000000000000011E-2</v>
      </c>
      <c r="Z16" s="82">
        <v>6.8000000000000005E-2</v>
      </c>
      <c r="AA16" s="84">
        <v>0.19800000000000001</v>
      </c>
      <c r="AB16" s="82">
        <v>0.23331000000000002</v>
      </c>
      <c r="AC16" s="85">
        <v>171270.39</v>
      </c>
      <c r="AD16" s="81"/>
      <c r="AE16" s="86">
        <f t="shared" si="1"/>
        <v>0</v>
      </c>
      <c r="AF16" s="84">
        <f t="shared" si="2"/>
        <v>0</v>
      </c>
      <c r="AG16" s="87">
        <f t="shared" si="3"/>
        <v>30.82752</v>
      </c>
      <c r="AH16" s="86">
        <v>180</v>
      </c>
      <c r="AI16" s="86">
        <v>256</v>
      </c>
      <c r="AJ16" s="86">
        <v>669</v>
      </c>
      <c r="AK16" s="86">
        <v>950</v>
      </c>
      <c r="AL16" s="87">
        <f t="shared" si="4"/>
        <v>162.70079999999999</v>
      </c>
      <c r="AM16" s="87">
        <f t="shared" si="5"/>
        <v>75.930836351999986</v>
      </c>
      <c r="AN16" s="88">
        <f t="shared" si="6"/>
        <v>243200</v>
      </c>
      <c r="AO16" s="88">
        <f t="shared" si="7"/>
        <v>46080</v>
      </c>
      <c r="AP16" s="89">
        <f t="shared" si="8"/>
        <v>0.7</v>
      </c>
      <c r="AQ16" s="90">
        <f t="shared" si="9"/>
        <v>3.6944444444444438</v>
      </c>
      <c r="AR16" s="91" t="s">
        <v>783</v>
      </c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</row>
    <row r="17" spans="1:147" s="59" customFormat="1" ht="12.5" hidden="1">
      <c r="A17" s="103" t="s">
        <v>461</v>
      </c>
      <c r="B17" s="103" t="s">
        <v>644</v>
      </c>
      <c r="C17" s="104" t="s">
        <v>379</v>
      </c>
      <c r="D17" s="33">
        <v>1</v>
      </c>
      <c r="E17" s="34" t="s">
        <v>740</v>
      </c>
      <c r="F17" s="35"/>
      <c r="G17" s="36">
        <v>2269</v>
      </c>
      <c r="H17" s="35"/>
      <c r="I17" s="35"/>
      <c r="J17" s="37">
        <v>238</v>
      </c>
      <c r="K17" s="105" t="s">
        <v>103</v>
      </c>
      <c r="L17" s="105" t="s">
        <v>119</v>
      </c>
      <c r="M17" s="106" t="s">
        <v>574</v>
      </c>
      <c r="N17" s="105" t="s">
        <v>24</v>
      </c>
      <c r="O17" s="105" t="s">
        <v>760</v>
      </c>
      <c r="P17" s="107">
        <v>0</v>
      </c>
      <c r="Q17" s="108" t="s">
        <v>25</v>
      </c>
      <c r="R17" s="108" t="s">
        <v>759</v>
      </c>
      <c r="S17" s="106">
        <v>2029</v>
      </c>
      <c r="T17" s="109">
        <v>47299</v>
      </c>
      <c r="U17" s="110">
        <v>0.6875</v>
      </c>
      <c r="V17" s="110">
        <v>0.25</v>
      </c>
      <c r="W17" s="111">
        <f t="shared" si="0"/>
        <v>0.9375</v>
      </c>
      <c r="X17" s="110">
        <v>0.05</v>
      </c>
      <c r="Y17" s="110">
        <v>0</v>
      </c>
      <c r="Z17" s="110">
        <v>6.8000000000000005E-2</v>
      </c>
      <c r="AA17" s="112">
        <v>0.19800000000000001</v>
      </c>
      <c r="AB17" s="110">
        <v>6.25E-2</v>
      </c>
      <c r="AC17" s="113">
        <f>AI17*AJ17</f>
        <v>241875</v>
      </c>
      <c r="AD17" s="109"/>
      <c r="AE17" s="114">
        <f t="shared" si="1"/>
        <v>0</v>
      </c>
      <c r="AF17" s="112">
        <f t="shared" si="2"/>
        <v>0</v>
      </c>
      <c r="AG17" s="115">
        <f t="shared" si="3"/>
        <v>39.425624999999997</v>
      </c>
      <c r="AH17" s="114">
        <v>163</v>
      </c>
      <c r="AI17" s="114">
        <v>250.12926577042398</v>
      </c>
      <c r="AJ17" s="114">
        <v>967</v>
      </c>
      <c r="AK17" s="114">
        <v>800</v>
      </c>
      <c r="AL17" s="115">
        <f t="shared" si="4"/>
        <v>193.5</v>
      </c>
      <c r="AM17" s="115">
        <f t="shared" si="5"/>
        <v>133.03125</v>
      </c>
      <c r="AN17" s="116">
        <f t="shared" si="6"/>
        <v>200103.41261633919</v>
      </c>
      <c r="AO17" s="116">
        <f t="shared" si="7"/>
        <v>40771.070320579107</v>
      </c>
      <c r="AP17" s="117">
        <f t="shared" si="8"/>
        <v>0.75</v>
      </c>
      <c r="AQ17" s="118">
        <f t="shared" si="9"/>
        <v>3.680981595092025</v>
      </c>
      <c r="AR17" s="119" t="s">
        <v>783</v>
      </c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</row>
    <row r="18" spans="1:147" s="120" customFormat="1" ht="12.5" hidden="1">
      <c r="A18" s="103" t="s">
        <v>459</v>
      </c>
      <c r="B18" s="103" t="s">
        <v>646</v>
      </c>
      <c r="C18" s="104" t="s">
        <v>380</v>
      </c>
      <c r="D18" s="33">
        <v>1</v>
      </c>
      <c r="E18" s="34" t="s">
        <v>739</v>
      </c>
      <c r="F18" s="35"/>
      <c r="G18" s="36">
        <v>2642</v>
      </c>
      <c r="H18" s="35"/>
      <c r="I18" s="35"/>
      <c r="J18" s="37">
        <v>236</v>
      </c>
      <c r="K18" s="105" t="s">
        <v>103</v>
      </c>
      <c r="L18" s="105" t="s">
        <v>117</v>
      </c>
      <c r="M18" s="106" t="s">
        <v>574</v>
      </c>
      <c r="N18" s="105" t="s">
        <v>24</v>
      </c>
      <c r="O18" s="105" t="s">
        <v>760</v>
      </c>
      <c r="P18" s="107">
        <v>0</v>
      </c>
      <c r="Q18" s="108" t="s">
        <v>25</v>
      </c>
      <c r="R18" s="108" t="s">
        <v>26</v>
      </c>
      <c r="S18" s="106">
        <v>2029</v>
      </c>
      <c r="T18" s="109">
        <v>47483</v>
      </c>
      <c r="U18" s="110">
        <v>0.59585500000000002</v>
      </c>
      <c r="V18" s="110">
        <v>0.35</v>
      </c>
      <c r="W18" s="111">
        <f t="shared" si="0"/>
        <v>0.945855</v>
      </c>
      <c r="X18" s="110">
        <v>0.05</v>
      </c>
      <c r="Y18" s="110">
        <v>9.0000000000000011E-2</v>
      </c>
      <c r="Z18" s="110">
        <v>6.8000000000000005E-2</v>
      </c>
      <c r="AA18" s="112">
        <v>0.19800000000000001</v>
      </c>
      <c r="AB18" s="110">
        <v>5.4144999999999999E-2</v>
      </c>
      <c r="AC18" s="113">
        <f>AI18*AJ18</f>
        <v>183738</v>
      </c>
      <c r="AD18" s="109"/>
      <c r="AE18" s="114">
        <f t="shared" si="1"/>
        <v>0</v>
      </c>
      <c r="AF18" s="112">
        <f t="shared" si="2"/>
        <v>0</v>
      </c>
      <c r="AG18" s="115">
        <f t="shared" si="3"/>
        <v>29.949293999999998</v>
      </c>
      <c r="AH18" s="114">
        <v>163</v>
      </c>
      <c r="AI18" s="114">
        <v>271</v>
      </c>
      <c r="AJ18" s="114">
        <v>678</v>
      </c>
      <c r="AK18" s="114">
        <v>600</v>
      </c>
      <c r="AL18" s="115">
        <f t="shared" si="4"/>
        <v>110.2428</v>
      </c>
      <c r="AM18" s="115">
        <f t="shared" si="5"/>
        <v>65.68872359400001</v>
      </c>
      <c r="AN18" s="116">
        <f t="shared" si="6"/>
        <v>162600</v>
      </c>
      <c r="AO18" s="116">
        <f t="shared" si="7"/>
        <v>44173</v>
      </c>
      <c r="AP18" s="117">
        <f t="shared" si="8"/>
        <v>0.65</v>
      </c>
      <c r="AQ18" s="118">
        <f t="shared" si="9"/>
        <v>2.3926380368098159</v>
      </c>
      <c r="AR18" s="119" t="s">
        <v>783</v>
      </c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</row>
    <row r="19" spans="1:147" s="59" customFormat="1" ht="12.5" hidden="1">
      <c r="A19" s="62" t="s">
        <v>459</v>
      </c>
      <c r="B19" s="62" t="s">
        <v>647</v>
      </c>
      <c r="C19" s="63" t="s">
        <v>380</v>
      </c>
      <c r="D19" s="64">
        <v>1</v>
      </c>
      <c r="E19" s="65" t="s">
        <v>739</v>
      </c>
      <c r="F19" s="61"/>
      <c r="G19" s="66">
        <v>2642</v>
      </c>
      <c r="H19" s="61"/>
      <c r="I19" s="61"/>
      <c r="J19" s="60">
        <v>237</v>
      </c>
      <c r="K19" s="77" t="s">
        <v>103</v>
      </c>
      <c r="L19" s="77" t="s">
        <v>117</v>
      </c>
      <c r="M19" s="78" t="s">
        <v>574</v>
      </c>
      <c r="N19" s="77" t="s">
        <v>24</v>
      </c>
      <c r="O19" s="77" t="s">
        <v>760</v>
      </c>
      <c r="P19" s="79">
        <v>0</v>
      </c>
      <c r="Q19" s="80" t="s">
        <v>25</v>
      </c>
      <c r="R19" s="80" t="s">
        <v>26</v>
      </c>
      <c r="S19" s="78">
        <v>2029</v>
      </c>
      <c r="T19" s="81">
        <v>47483</v>
      </c>
      <c r="U19" s="82">
        <v>0.59585500000000002</v>
      </c>
      <c r="V19" s="82">
        <v>0.35</v>
      </c>
      <c r="W19" s="83">
        <f t="shared" si="0"/>
        <v>0.945855</v>
      </c>
      <c r="X19" s="82">
        <v>0.05</v>
      </c>
      <c r="Y19" s="82">
        <v>9.0000000000000011E-2</v>
      </c>
      <c r="Z19" s="82">
        <v>6.8000000000000005E-2</v>
      </c>
      <c r="AA19" s="84">
        <v>0.19800000000000001</v>
      </c>
      <c r="AB19" s="82">
        <v>5.4144999999999999E-2</v>
      </c>
      <c r="AC19" s="85">
        <f>AI19*AJ19</f>
        <v>260596</v>
      </c>
      <c r="AD19" s="81"/>
      <c r="AE19" s="86">
        <f t="shared" si="1"/>
        <v>0</v>
      </c>
      <c r="AF19" s="84">
        <f t="shared" si="2"/>
        <v>0</v>
      </c>
      <c r="AG19" s="87">
        <f t="shared" si="3"/>
        <v>42.477148</v>
      </c>
      <c r="AH19" s="86">
        <v>163</v>
      </c>
      <c r="AI19" s="86">
        <v>227</v>
      </c>
      <c r="AJ19" s="86">
        <v>1148</v>
      </c>
      <c r="AK19" s="86">
        <v>650</v>
      </c>
      <c r="AL19" s="87">
        <f t="shared" si="4"/>
        <v>169.38740000000001</v>
      </c>
      <c r="AM19" s="87">
        <f t="shared" si="5"/>
        <v>100.93032922700002</v>
      </c>
      <c r="AN19" s="88">
        <f t="shared" si="6"/>
        <v>147550</v>
      </c>
      <c r="AO19" s="88">
        <f t="shared" si="7"/>
        <v>37001</v>
      </c>
      <c r="AP19" s="89">
        <f t="shared" si="8"/>
        <v>0.65</v>
      </c>
      <c r="AQ19" s="90">
        <f t="shared" si="9"/>
        <v>2.592024539877301</v>
      </c>
      <c r="AR19" s="91" t="s">
        <v>783</v>
      </c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</row>
    <row r="20" spans="1:147" s="120" customFormat="1" ht="12.5" hidden="1">
      <c r="A20" s="62" t="s">
        <v>466</v>
      </c>
      <c r="B20" s="62" t="s">
        <v>263</v>
      </c>
      <c r="C20" s="63" t="s">
        <v>376</v>
      </c>
      <c r="D20" s="64">
        <v>1</v>
      </c>
      <c r="E20" s="65" t="s">
        <v>740</v>
      </c>
      <c r="F20" s="61"/>
      <c r="G20" s="66">
        <v>2286</v>
      </c>
      <c r="H20" s="61"/>
      <c r="I20" s="61"/>
      <c r="J20" s="60">
        <v>250</v>
      </c>
      <c r="K20" s="77" t="s">
        <v>103</v>
      </c>
      <c r="L20" s="77" t="s">
        <v>124</v>
      </c>
      <c r="M20" s="78" t="s">
        <v>583</v>
      </c>
      <c r="N20" s="77" t="s">
        <v>45</v>
      </c>
      <c r="O20" s="77" t="s">
        <v>760</v>
      </c>
      <c r="P20" s="79">
        <v>0</v>
      </c>
      <c r="Q20" s="80" t="s">
        <v>25</v>
      </c>
      <c r="R20" s="80" t="s">
        <v>26</v>
      </c>
      <c r="S20" s="78">
        <v>2029</v>
      </c>
      <c r="T20" s="81">
        <v>47299</v>
      </c>
      <c r="U20" s="82">
        <v>0.45</v>
      </c>
      <c r="V20" s="82">
        <v>0.5</v>
      </c>
      <c r="W20" s="83">
        <f t="shared" si="0"/>
        <v>0.95</v>
      </c>
      <c r="X20" s="82">
        <v>0.05</v>
      </c>
      <c r="Y20" s="82">
        <v>9.0000000000000011E-2</v>
      </c>
      <c r="Z20" s="82">
        <v>6.8000000000000005E-2</v>
      </c>
      <c r="AA20" s="84">
        <v>0.19800000000000001</v>
      </c>
      <c r="AB20" s="82">
        <v>5.0000000000000044E-2</v>
      </c>
      <c r="AC20" s="85">
        <f>AI20*AJ20</f>
        <v>308574.72199999995</v>
      </c>
      <c r="AD20" s="81"/>
      <c r="AE20" s="86">
        <f t="shared" si="1"/>
        <v>0</v>
      </c>
      <c r="AF20" s="84">
        <f t="shared" si="2"/>
        <v>0</v>
      </c>
      <c r="AG20" s="87">
        <f t="shared" si="3"/>
        <v>50.297679685999995</v>
      </c>
      <c r="AH20" s="86">
        <v>163</v>
      </c>
      <c r="AI20" s="86">
        <v>299.00651356589145</v>
      </c>
      <c r="AJ20" s="86">
        <v>1032</v>
      </c>
      <c r="AK20" s="86">
        <v>550</v>
      </c>
      <c r="AL20" s="87">
        <f t="shared" si="4"/>
        <v>169.71609709999998</v>
      </c>
      <c r="AM20" s="87">
        <f t="shared" si="5"/>
        <v>76.372243694999995</v>
      </c>
      <c r="AN20" s="88">
        <f t="shared" si="6"/>
        <v>164453.58246124029</v>
      </c>
      <c r="AO20" s="88">
        <f t="shared" si="7"/>
        <v>48738.061711240305</v>
      </c>
      <c r="AP20" s="89">
        <f t="shared" si="8"/>
        <v>0.5</v>
      </c>
      <c r="AQ20" s="90">
        <f t="shared" si="9"/>
        <v>1.6871165644171779</v>
      </c>
      <c r="AR20" s="91" t="s">
        <v>783</v>
      </c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</row>
    <row r="21" spans="1:147" s="59" customFormat="1" ht="12.5" hidden="1">
      <c r="A21" s="103" t="s">
        <v>471</v>
      </c>
      <c r="B21" s="103" t="s">
        <v>272</v>
      </c>
      <c r="C21" s="104" t="s">
        <v>372</v>
      </c>
      <c r="D21" s="33">
        <v>1</v>
      </c>
      <c r="E21" s="34" t="s">
        <v>740</v>
      </c>
      <c r="F21" s="35"/>
      <c r="G21" s="36">
        <v>2281</v>
      </c>
      <c r="H21" s="35"/>
      <c r="I21" s="35"/>
      <c r="J21" s="37">
        <v>259</v>
      </c>
      <c r="K21" s="105" t="s">
        <v>103</v>
      </c>
      <c r="L21" s="105" t="s">
        <v>125</v>
      </c>
      <c r="M21" s="106" t="s">
        <v>583</v>
      </c>
      <c r="N21" s="105" t="s">
        <v>130</v>
      </c>
      <c r="O21" s="105" t="s">
        <v>760</v>
      </c>
      <c r="P21" s="107">
        <v>0</v>
      </c>
      <c r="Q21" s="108" t="s">
        <v>25</v>
      </c>
      <c r="R21" s="108" t="s">
        <v>26</v>
      </c>
      <c r="S21" s="106">
        <v>2029</v>
      </c>
      <c r="T21" s="109">
        <v>47391</v>
      </c>
      <c r="U21" s="110">
        <v>0.65085700000000002</v>
      </c>
      <c r="V21" s="110">
        <v>0.29000000000000004</v>
      </c>
      <c r="W21" s="111">
        <f t="shared" si="0"/>
        <v>0.94085700000000005</v>
      </c>
      <c r="X21" s="110">
        <v>0.05</v>
      </c>
      <c r="Y21" s="110">
        <v>9.0000000000000011E-2</v>
      </c>
      <c r="Z21" s="110">
        <v>6.8000000000000005E-2</v>
      </c>
      <c r="AA21" s="112">
        <v>0.19800000000000001</v>
      </c>
      <c r="AB21" s="110">
        <v>5.9142999999999946E-2</v>
      </c>
      <c r="AC21" s="113">
        <f>AI21*AJ21</f>
        <v>142117.4</v>
      </c>
      <c r="AD21" s="109"/>
      <c r="AE21" s="114">
        <f t="shared" si="1"/>
        <v>0</v>
      </c>
      <c r="AF21" s="112">
        <f t="shared" si="2"/>
        <v>0</v>
      </c>
      <c r="AG21" s="115">
        <f t="shared" si="3"/>
        <v>23.165136199999999</v>
      </c>
      <c r="AH21" s="114">
        <v>163</v>
      </c>
      <c r="AI21" s="114">
        <v>159.86209223847018</v>
      </c>
      <c r="AJ21" s="114">
        <v>889</v>
      </c>
      <c r="AK21" s="114">
        <v>550</v>
      </c>
      <c r="AL21" s="115">
        <f t="shared" si="4"/>
        <v>78.164569999999998</v>
      </c>
      <c r="AM21" s="115">
        <f t="shared" si="5"/>
        <v>50.873957536490003</v>
      </c>
      <c r="AN21" s="116">
        <f t="shared" si="6"/>
        <v>87924.150731158603</v>
      </c>
      <c r="AO21" s="116">
        <f t="shared" si="7"/>
        <v>26057.521034870639</v>
      </c>
      <c r="AP21" s="117">
        <f t="shared" si="8"/>
        <v>0.71</v>
      </c>
      <c r="AQ21" s="118">
        <f t="shared" si="9"/>
        <v>2.3957055214723928</v>
      </c>
      <c r="AR21" s="119" t="s">
        <v>783</v>
      </c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</row>
    <row r="22" spans="1:147" s="120" customFormat="1" ht="12.5" hidden="1">
      <c r="A22" s="103" t="s">
        <v>765</v>
      </c>
      <c r="B22" s="103" t="s">
        <v>276</v>
      </c>
      <c r="C22" s="104" t="s">
        <v>370</v>
      </c>
      <c r="D22" s="33">
        <v>1</v>
      </c>
      <c r="E22" s="34" t="s">
        <v>740</v>
      </c>
      <c r="F22" s="35"/>
      <c r="G22" s="36">
        <v>2270</v>
      </c>
      <c r="H22" s="35"/>
      <c r="I22" s="35"/>
      <c r="J22" s="37">
        <v>263</v>
      </c>
      <c r="K22" s="105" t="s">
        <v>103</v>
      </c>
      <c r="L22" s="105" t="s">
        <v>134</v>
      </c>
      <c r="M22" s="106" t="s">
        <v>583</v>
      </c>
      <c r="N22" s="105" t="s">
        <v>136</v>
      </c>
      <c r="O22" s="105" t="s">
        <v>760</v>
      </c>
      <c r="P22" s="107">
        <v>0</v>
      </c>
      <c r="Q22" s="108" t="s">
        <v>25</v>
      </c>
      <c r="R22" s="108" t="s">
        <v>26</v>
      </c>
      <c r="S22" s="106">
        <v>2029</v>
      </c>
      <c r="T22" s="109">
        <v>46660</v>
      </c>
      <c r="U22" s="110">
        <v>0.64170000000000005</v>
      </c>
      <c r="V22" s="110">
        <v>0.30000000000000004</v>
      </c>
      <c r="W22" s="111">
        <f t="shared" si="0"/>
        <v>0.94170000000000009</v>
      </c>
      <c r="X22" s="110">
        <v>0.05</v>
      </c>
      <c r="Y22" s="110">
        <v>9.0000000000000011E-2</v>
      </c>
      <c r="Z22" s="110">
        <v>6.8000000000000005E-2</v>
      </c>
      <c r="AA22" s="112">
        <v>0.19800000000000001</v>
      </c>
      <c r="AB22" s="110">
        <v>5.8299999999999907E-2</v>
      </c>
      <c r="AC22" s="113">
        <v>225552.72</v>
      </c>
      <c r="AD22" s="109"/>
      <c r="AE22" s="114">
        <f t="shared" si="1"/>
        <v>0</v>
      </c>
      <c r="AF22" s="112">
        <f t="shared" si="2"/>
        <v>0</v>
      </c>
      <c r="AG22" s="115">
        <f t="shared" si="3"/>
        <v>32.208799999999997</v>
      </c>
      <c r="AH22" s="114">
        <v>163</v>
      </c>
      <c r="AI22" s="114">
        <v>200</v>
      </c>
      <c r="AJ22" s="114">
        <v>988</v>
      </c>
      <c r="AK22" s="114">
        <v>600</v>
      </c>
      <c r="AL22" s="115">
        <f t="shared" si="4"/>
        <v>118.56</v>
      </c>
      <c r="AM22" s="115">
        <f t="shared" si="5"/>
        <v>76.079952000000006</v>
      </c>
      <c r="AN22" s="116">
        <f t="shared" si="6"/>
        <v>120000</v>
      </c>
      <c r="AO22" s="116">
        <f t="shared" si="7"/>
        <v>32600</v>
      </c>
      <c r="AP22" s="117">
        <f t="shared" si="8"/>
        <v>0.7</v>
      </c>
      <c r="AQ22" s="118">
        <f t="shared" si="9"/>
        <v>2.576687116564417</v>
      </c>
      <c r="AR22" s="119" t="s">
        <v>783</v>
      </c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</row>
    <row r="23" spans="1:147" s="59" customFormat="1" ht="12.5" hidden="1">
      <c r="A23" s="103" t="s">
        <v>478</v>
      </c>
      <c r="B23" s="103" t="s">
        <v>280</v>
      </c>
      <c r="C23" s="104" t="s">
        <v>365</v>
      </c>
      <c r="D23" s="33">
        <v>1</v>
      </c>
      <c r="E23" s="34" t="s">
        <v>739</v>
      </c>
      <c r="F23" s="35"/>
      <c r="G23" s="36">
        <v>2395</v>
      </c>
      <c r="H23" s="35"/>
      <c r="I23" s="35"/>
      <c r="J23" s="37">
        <v>269</v>
      </c>
      <c r="K23" s="105" t="s">
        <v>103</v>
      </c>
      <c r="L23" s="105" t="s">
        <v>142</v>
      </c>
      <c r="M23" s="106" t="s">
        <v>574</v>
      </c>
      <c r="N23" s="105" t="s">
        <v>24</v>
      </c>
      <c r="O23" s="105" t="s">
        <v>760</v>
      </c>
      <c r="P23" s="107">
        <v>0</v>
      </c>
      <c r="Q23" s="108" t="s">
        <v>25</v>
      </c>
      <c r="R23" s="108" t="s">
        <v>26</v>
      </c>
      <c r="S23" s="106">
        <v>2029</v>
      </c>
      <c r="T23" s="109">
        <v>47391</v>
      </c>
      <c r="U23" s="110">
        <v>0.7</v>
      </c>
      <c r="V23" s="110">
        <v>0.30000000000000004</v>
      </c>
      <c r="W23" s="111">
        <f t="shared" si="0"/>
        <v>1</v>
      </c>
      <c r="X23" s="110">
        <v>0.05</v>
      </c>
      <c r="Y23" s="110">
        <v>0</v>
      </c>
      <c r="Z23" s="110">
        <v>6.8000000000000005E-2</v>
      </c>
      <c r="AA23" s="112">
        <v>0.19800000000000001</v>
      </c>
      <c r="AB23" s="110"/>
      <c r="AC23" s="113">
        <v>325041</v>
      </c>
      <c r="AD23" s="109"/>
      <c r="AE23" s="114">
        <f t="shared" si="1"/>
        <v>0</v>
      </c>
      <c r="AF23" s="112">
        <f t="shared" si="2"/>
        <v>0</v>
      </c>
      <c r="AG23" s="115">
        <f t="shared" si="3"/>
        <v>26.340800000000002</v>
      </c>
      <c r="AH23" s="114">
        <v>163</v>
      </c>
      <c r="AI23" s="114">
        <v>200</v>
      </c>
      <c r="AJ23" s="114">
        <v>808</v>
      </c>
      <c r="AK23" s="114">
        <v>800</v>
      </c>
      <c r="AL23" s="115">
        <f t="shared" si="4"/>
        <v>129.28</v>
      </c>
      <c r="AM23" s="115">
        <f t="shared" si="5"/>
        <v>90.495999999999995</v>
      </c>
      <c r="AN23" s="116">
        <f t="shared" si="6"/>
        <v>160000</v>
      </c>
      <c r="AO23" s="116">
        <f t="shared" si="7"/>
        <v>32600</v>
      </c>
      <c r="AP23" s="117">
        <f t="shared" si="8"/>
        <v>0.7</v>
      </c>
      <c r="AQ23" s="118">
        <f t="shared" si="9"/>
        <v>3.4355828220858893</v>
      </c>
      <c r="AR23" s="119" t="s">
        <v>783</v>
      </c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</row>
    <row r="24" spans="1:147" s="120" customFormat="1" ht="12.5" hidden="1">
      <c r="A24" s="62" t="s">
        <v>478</v>
      </c>
      <c r="B24" s="62" t="s">
        <v>280</v>
      </c>
      <c r="C24" s="63" t="s">
        <v>365</v>
      </c>
      <c r="D24" s="64">
        <v>1</v>
      </c>
      <c r="E24" s="65" t="s">
        <v>739</v>
      </c>
      <c r="F24" s="61"/>
      <c r="G24" s="66">
        <v>2395</v>
      </c>
      <c r="H24" s="61"/>
      <c r="I24" s="61"/>
      <c r="J24" s="60">
        <v>270</v>
      </c>
      <c r="K24" s="77" t="s">
        <v>103</v>
      </c>
      <c r="L24" s="77" t="s">
        <v>142</v>
      </c>
      <c r="M24" s="78" t="s">
        <v>574</v>
      </c>
      <c r="N24" s="77" t="s">
        <v>24</v>
      </c>
      <c r="O24" s="77" t="s">
        <v>760</v>
      </c>
      <c r="P24" s="79">
        <v>0</v>
      </c>
      <c r="Q24" s="80" t="s">
        <v>25</v>
      </c>
      <c r="R24" s="80" t="s">
        <v>26</v>
      </c>
      <c r="S24" s="78">
        <v>2029</v>
      </c>
      <c r="T24" s="81">
        <v>47391</v>
      </c>
      <c r="U24" s="82">
        <v>0.7</v>
      </c>
      <c r="V24" s="82">
        <v>0.30000000000000004</v>
      </c>
      <c r="W24" s="83">
        <f t="shared" si="0"/>
        <v>1</v>
      </c>
      <c r="X24" s="82">
        <v>0.05</v>
      </c>
      <c r="Y24" s="82">
        <v>0</v>
      </c>
      <c r="Z24" s="82">
        <v>6.8000000000000005E-2</v>
      </c>
      <c r="AA24" s="84">
        <v>0.19800000000000001</v>
      </c>
      <c r="AB24" s="82"/>
      <c r="AC24" s="85">
        <v>325041</v>
      </c>
      <c r="AD24" s="81"/>
      <c r="AE24" s="86">
        <f t="shared" si="1"/>
        <v>0</v>
      </c>
      <c r="AF24" s="84">
        <f t="shared" si="2"/>
        <v>0</v>
      </c>
      <c r="AG24" s="87">
        <f t="shared" si="3"/>
        <v>26.340800000000002</v>
      </c>
      <c r="AH24" s="86">
        <v>163</v>
      </c>
      <c r="AI24" s="86">
        <v>200</v>
      </c>
      <c r="AJ24" s="86">
        <v>808</v>
      </c>
      <c r="AK24" s="86">
        <v>500</v>
      </c>
      <c r="AL24" s="87">
        <f t="shared" si="4"/>
        <v>80.8</v>
      </c>
      <c r="AM24" s="87">
        <f t="shared" si="5"/>
        <v>56.559999999999995</v>
      </c>
      <c r="AN24" s="88">
        <f t="shared" si="6"/>
        <v>100000</v>
      </c>
      <c r="AO24" s="88">
        <f t="shared" si="7"/>
        <v>32600</v>
      </c>
      <c r="AP24" s="89">
        <f t="shared" si="8"/>
        <v>0.7</v>
      </c>
      <c r="AQ24" s="90">
        <f t="shared" si="9"/>
        <v>2.1472392638036806</v>
      </c>
      <c r="AR24" s="91" t="s">
        <v>783</v>
      </c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</row>
    <row r="25" spans="1:147" s="59" customFormat="1" ht="12.5" hidden="1">
      <c r="A25" s="103" t="s">
        <v>478</v>
      </c>
      <c r="B25" s="103" t="s">
        <v>280</v>
      </c>
      <c r="C25" s="104" t="s">
        <v>365</v>
      </c>
      <c r="D25" s="33">
        <v>1</v>
      </c>
      <c r="E25" s="34" t="s">
        <v>739</v>
      </c>
      <c r="F25" s="35"/>
      <c r="G25" s="36">
        <v>2395</v>
      </c>
      <c r="H25" s="35"/>
      <c r="I25" s="35"/>
      <c r="J25" s="37">
        <v>271</v>
      </c>
      <c r="K25" s="105" t="s">
        <v>103</v>
      </c>
      <c r="L25" s="105" t="s">
        <v>142</v>
      </c>
      <c r="M25" s="106" t="s">
        <v>574</v>
      </c>
      <c r="N25" s="105" t="s">
        <v>24</v>
      </c>
      <c r="O25" s="105" t="s">
        <v>760</v>
      </c>
      <c r="P25" s="107">
        <v>0</v>
      </c>
      <c r="Q25" s="108" t="s">
        <v>25</v>
      </c>
      <c r="R25" s="108" t="s">
        <v>26</v>
      </c>
      <c r="S25" s="106">
        <v>2029</v>
      </c>
      <c r="T25" s="109">
        <v>47391</v>
      </c>
      <c r="U25" s="110">
        <v>0.7</v>
      </c>
      <c r="V25" s="110">
        <v>0.30000000000000004</v>
      </c>
      <c r="W25" s="111">
        <f t="shared" si="0"/>
        <v>1</v>
      </c>
      <c r="X25" s="110">
        <v>0.05</v>
      </c>
      <c r="Y25" s="110">
        <v>0</v>
      </c>
      <c r="Z25" s="110">
        <v>6.8000000000000005E-2</v>
      </c>
      <c r="AA25" s="112">
        <v>0.19800000000000001</v>
      </c>
      <c r="AB25" s="110"/>
      <c r="AC25" s="113">
        <v>325041</v>
      </c>
      <c r="AD25" s="109"/>
      <c r="AE25" s="114">
        <f t="shared" si="1"/>
        <v>0</v>
      </c>
      <c r="AF25" s="112">
        <f t="shared" si="2"/>
        <v>0</v>
      </c>
      <c r="AG25" s="115">
        <f t="shared" si="3"/>
        <v>26.308199999999999</v>
      </c>
      <c r="AH25" s="114">
        <v>163</v>
      </c>
      <c r="AI25" s="114">
        <v>200</v>
      </c>
      <c r="AJ25" s="114">
        <v>807</v>
      </c>
      <c r="AK25" s="114">
        <v>800</v>
      </c>
      <c r="AL25" s="115">
        <f t="shared" si="4"/>
        <v>129.12</v>
      </c>
      <c r="AM25" s="115">
        <f t="shared" si="5"/>
        <v>90.384</v>
      </c>
      <c r="AN25" s="116">
        <f t="shared" si="6"/>
        <v>160000</v>
      </c>
      <c r="AO25" s="116">
        <f t="shared" si="7"/>
        <v>32600</v>
      </c>
      <c r="AP25" s="117">
        <f t="shared" si="8"/>
        <v>0.7</v>
      </c>
      <c r="AQ25" s="118">
        <f t="shared" si="9"/>
        <v>3.4355828220858897</v>
      </c>
      <c r="AR25" s="119" t="s">
        <v>783</v>
      </c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</row>
    <row r="26" spans="1:147" s="120" customFormat="1" ht="12.5" hidden="1">
      <c r="A26" s="62" t="s">
        <v>451</v>
      </c>
      <c r="B26" s="62" t="s">
        <v>694</v>
      </c>
      <c r="C26" s="63" t="s">
        <v>387</v>
      </c>
      <c r="D26" s="64">
        <v>1</v>
      </c>
      <c r="E26" s="65" t="s">
        <v>739</v>
      </c>
      <c r="F26" s="61"/>
      <c r="G26" s="66">
        <v>2267</v>
      </c>
      <c r="H26" s="61"/>
      <c r="I26" s="61"/>
      <c r="J26" s="60">
        <v>217</v>
      </c>
      <c r="K26" s="77" t="s">
        <v>103</v>
      </c>
      <c r="L26" s="77" t="s">
        <v>105</v>
      </c>
      <c r="M26" s="78" t="s">
        <v>572</v>
      </c>
      <c r="N26" s="77" t="s">
        <v>106</v>
      </c>
      <c r="O26" s="77" t="s">
        <v>760</v>
      </c>
      <c r="P26" s="79">
        <v>0</v>
      </c>
      <c r="Q26" s="80" t="s">
        <v>25</v>
      </c>
      <c r="R26" s="80" t="s">
        <v>26</v>
      </c>
      <c r="S26" s="78">
        <v>2029</v>
      </c>
      <c r="T26" s="81">
        <v>47299</v>
      </c>
      <c r="U26" s="82">
        <v>0.68752499999999994</v>
      </c>
      <c r="V26" s="82">
        <v>0.25</v>
      </c>
      <c r="W26" s="83">
        <f t="shared" si="0"/>
        <v>0.93752499999999994</v>
      </c>
      <c r="X26" s="82">
        <v>0.05</v>
      </c>
      <c r="Y26" s="82">
        <v>0</v>
      </c>
      <c r="Z26" s="82">
        <v>6.8000000000000005E-2</v>
      </c>
      <c r="AA26" s="84">
        <v>0.19800000000000001</v>
      </c>
      <c r="AB26" s="82">
        <v>6.2475000000000058E-2</v>
      </c>
      <c r="AC26" s="85">
        <f>AI26*AJ26</f>
        <v>204000</v>
      </c>
      <c r="AD26" s="81"/>
      <c r="AE26" s="86">
        <f t="shared" si="1"/>
        <v>0</v>
      </c>
      <c r="AF26" s="84">
        <f t="shared" si="2"/>
        <v>0</v>
      </c>
      <c r="AG26" s="87">
        <f t="shared" si="3"/>
        <v>28.56</v>
      </c>
      <c r="AH26" s="86">
        <v>140</v>
      </c>
      <c r="AI26" s="86">
        <v>300</v>
      </c>
      <c r="AJ26" s="86">
        <v>680</v>
      </c>
      <c r="AK26" s="86">
        <v>500.00000000000006</v>
      </c>
      <c r="AL26" s="87">
        <f t="shared" si="4"/>
        <v>102.00000000000001</v>
      </c>
      <c r="AM26" s="87">
        <f t="shared" si="5"/>
        <v>70.127549999999999</v>
      </c>
      <c r="AN26" s="88">
        <f t="shared" si="6"/>
        <v>150000.00000000003</v>
      </c>
      <c r="AO26" s="88">
        <f t="shared" si="7"/>
        <v>42000</v>
      </c>
      <c r="AP26" s="89">
        <f t="shared" si="8"/>
        <v>0.75</v>
      </c>
      <c r="AQ26" s="90">
        <f t="shared" si="9"/>
        <v>2.6785714285714293</v>
      </c>
      <c r="AR26" s="91" t="s">
        <v>783</v>
      </c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</row>
    <row r="27" spans="1:147" s="59" customFormat="1" ht="12.5" hidden="1">
      <c r="A27" s="103" t="s">
        <v>479</v>
      </c>
      <c r="B27" s="103" t="s">
        <v>660</v>
      </c>
      <c r="C27" s="104" t="s">
        <v>364</v>
      </c>
      <c r="D27" s="33">
        <v>1</v>
      </c>
      <c r="E27" s="34" t="s">
        <v>740</v>
      </c>
      <c r="F27" s="35"/>
      <c r="G27" s="36">
        <v>2372</v>
      </c>
      <c r="H27" s="35"/>
      <c r="I27" s="35"/>
      <c r="J27" s="37">
        <v>274</v>
      </c>
      <c r="K27" s="105" t="s">
        <v>143</v>
      </c>
      <c r="L27" s="105" t="s">
        <v>144</v>
      </c>
      <c r="M27" s="106" t="s">
        <v>575</v>
      </c>
      <c r="N27" s="105" t="s">
        <v>594</v>
      </c>
      <c r="O27" s="105" t="s">
        <v>760</v>
      </c>
      <c r="P27" s="107">
        <v>0</v>
      </c>
      <c r="Q27" s="108" t="s">
        <v>25</v>
      </c>
      <c r="R27" s="108" t="s">
        <v>759</v>
      </c>
      <c r="S27" s="106">
        <v>2029</v>
      </c>
      <c r="T27" s="109">
        <v>47208</v>
      </c>
      <c r="U27" s="110">
        <v>0.57199999999999995</v>
      </c>
      <c r="V27" s="110">
        <v>0.28500000000000003</v>
      </c>
      <c r="W27" s="111">
        <f t="shared" si="0"/>
        <v>0.85699999999999998</v>
      </c>
      <c r="X27" s="110">
        <v>7.0000000000000007E-2</v>
      </c>
      <c r="Y27" s="110">
        <v>0</v>
      </c>
      <c r="Z27" s="110">
        <v>6.8000000000000005E-2</v>
      </c>
      <c r="AA27" s="112">
        <v>0.19800000000000001</v>
      </c>
      <c r="AB27" s="110">
        <v>0.14300000000000002</v>
      </c>
      <c r="AC27" s="113">
        <v>88108</v>
      </c>
      <c r="AD27" s="109"/>
      <c r="AE27" s="114">
        <f t="shared" si="1"/>
        <v>0</v>
      </c>
      <c r="AF27" s="112">
        <f t="shared" si="2"/>
        <v>0</v>
      </c>
      <c r="AG27" s="115">
        <f t="shared" si="3"/>
        <v>15.412599999999999</v>
      </c>
      <c r="AH27" s="114">
        <v>175</v>
      </c>
      <c r="AI27" s="114">
        <v>218</v>
      </c>
      <c r="AJ27" s="114">
        <v>404</v>
      </c>
      <c r="AK27" s="114">
        <v>600</v>
      </c>
      <c r="AL27" s="115">
        <f t="shared" si="4"/>
        <v>52.843200000000003</v>
      </c>
      <c r="AM27" s="115">
        <f t="shared" si="5"/>
        <v>30.226310399999999</v>
      </c>
      <c r="AN27" s="116">
        <f t="shared" si="6"/>
        <v>130800</v>
      </c>
      <c r="AO27" s="116">
        <f t="shared" si="7"/>
        <v>38150</v>
      </c>
      <c r="AP27" s="117">
        <f t="shared" si="8"/>
        <v>0.71499999999999997</v>
      </c>
      <c r="AQ27" s="118">
        <f t="shared" si="9"/>
        <v>2.4514285714285715</v>
      </c>
      <c r="AR27" s="119" t="s">
        <v>783</v>
      </c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</row>
    <row r="28" spans="1:147" s="120" customFormat="1" ht="12.5" hidden="1">
      <c r="A28" s="103" t="s">
        <v>480</v>
      </c>
      <c r="B28" s="103" t="s">
        <v>664</v>
      </c>
      <c r="C28" s="104" t="s">
        <v>363</v>
      </c>
      <c r="D28" s="33">
        <v>1</v>
      </c>
      <c r="E28" s="34" t="s">
        <v>740</v>
      </c>
      <c r="F28" s="35"/>
      <c r="G28" s="36">
        <v>2377</v>
      </c>
      <c r="H28" s="35"/>
      <c r="I28" s="35"/>
      <c r="J28" s="37">
        <v>278</v>
      </c>
      <c r="K28" s="105" t="s">
        <v>143</v>
      </c>
      <c r="L28" s="105" t="s">
        <v>145</v>
      </c>
      <c r="M28" s="106" t="s">
        <v>575</v>
      </c>
      <c r="N28" s="105" t="s">
        <v>598</v>
      </c>
      <c r="O28" s="105" t="s">
        <v>760</v>
      </c>
      <c r="P28" s="107">
        <v>0</v>
      </c>
      <c r="Q28" s="108" t="s">
        <v>25</v>
      </c>
      <c r="R28" s="108" t="s">
        <v>26</v>
      </c>
      <c r="S28" s="106">
        <v>2029</v>
      </c>
      <c r="T28" s="109">
        <v>47483</v>
      </c>
      <c r="U28" s="110">
        <v>0.56000000000000005</v>
      </c>
      <c r="V28" s="110">
        <v>0.29999999999999993</v>
      </c>
      <c r="W28" s="111">
        <f t="shared" si="0"/>
        <v>0.86</v>
      </c>
      <c r="X28" s="110">
        <v>7.0000000000000007E-2</v>
      </c>
      <c r="Y28" s="110">
        <v>9.5000000000000001E-2</v>
      </c>
      <c r="Z28" s="110">
        <v>6.8000000000000005E-2</v>
      </c>
      <c r="AA28" s="112">
        <v>0.19800000000000001</v>
      </c>
      <c r="AB28" s="110">
        <v>0.14000000000000001</v>
      </c>
      <c r="AC28" s="113">
        <f t="shared" ref="AC28:AC37" si="11">AI28*AJ28</f>
        <v>220066.66666666669</v>
      </c>
      <c r="AD28" s="109"/>
      <c r="AE28" s="114">
        <f t="shared" si="1"/>
        <v>0</v>
      </c>
      <c r="AF28" s="112">
        <f t="shared" si="2"/>
        <v>0</v>
      </c>
      <c r="AG28" s="115">
        <f t="shared" si="3"/>
        <v>38.51166666666667</v>
      </c>
      <c r="AH28" s="114">
        <v>175</v>
      </c>
      <c r="AI28" s="114">
        <v>269.03015484922577</v>
      </c>
      <c r="AJ28" s="114">
        <v>818</v>
      </c>
      <c r="AK28" s="114">
        <v>650</v>
      </c>
      <c r="AL28" s="115">
        <f t="shared" si="4"/>
        <v>143.04333333333335</v>
      </c>
      <c r="AM28" s="115">
        <f t="shared" si="5"/>
        <v>80.104266666666689</v>
      </c>
      <c r="AN28" s="116">
        <f t="shared" si="6"/>
        <v>174869.60065199673</v>
      </c>
      <c r="AO28" s="116">
        <f t="shared" si="7"/>
        <v>47080.277098614511</v>
      </c>
      <c r="AP28" s="117">
        <f t="shared" si="8"/>
        <v>0.70000000000000007</v>
      </c>
      <c r="AQ28" s="118">
        <f t="shared" si="9"/>
        <v>2.6</v>
      </c>
      <c r="AR28" s="119" t="s">
        <v>783</v>
      </c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</row>
    <row r="29" spans="1:147" s="59" customFormat="1" ht="12.5" hidden="1">
      <c r="A29" s="62" t="s">
        <v>483</v>
      </c>
      <c r="B29" s="62" t="s">
        <v>667</v>
      </c>
      <c r="C29" s="63" t="s">
        <v>362</v>
      </c>
      <c r="D29" s="64">
        <v>1</v>
      </c>
      <c r="E29" s="65" t="s">
        <v>740</v>
      </c>
      <c r="F29" s="61"/>
      <c r="G29" s="66">
        <v>2381</v>
      </c>
      <c r="H29" s="61"/>
      <c r="I29" s="61"/>
      <c r="J29" s="60">
        <v>281</v>
      </c>
      <c r="K29" s="77" t="s">
        <v>143</v>
      </c>
      <c r="L29" s="77" t="s">
        <v>146</v>
      </c>
      <c r="M29" s="78" t="s">
        <v>575</v>
      </c>
      <c r="N29" s="77" t="s">
        <v>601</v>
      </c>
      <c r="O29" s="77" t="s">
        <v>760</v>
      </c>
      <c r="P29" s="79">
        <v>0</v>
      </c>
      <c r="Q29" s="80" t="s">
        <v>73</v>
      </c>
      <c r="R29" s="80" t="s">
        <v>759</v>
      </c>
      <c r="S29" s="78">
        <v>2029</v>
      </c>
      <c r="T29" s="81">
        <v>47483</v>
      </c>
      <c r="U29" s="82">
        <v>0.43409999999999999</v>
      </c>
      <c r="V29" s="82">
        <v>0.45740000000000003</v>
      </c>
      <c r="W29" s="83">
        <f t="shared" si="0"/>
        <v>0.89149999999999996</v>
      </c>
      <c r="X29" s="82">
        <v>7.0000000000000007E-2</v>
      </c>
      <c r="Y29" s="82">
        <v>0.06</v>
      </c>
      <c r="Z29" s="82">
        <v>6.8000000000000005E-2</v>
      </c>
      <c r="AA29" s="84">
        <v>0.19800000000000001</v>
      </c>
      <c r="AB29" s="82">
        <v>0.10850000000000004</v>
      </c>
      <c r="AC29" s="85">
        <f t="shared" si="11"/>
        <v>132000</v>
      </c>
      <c r="AD29" s="81"/>
      <c r="AE29" s="86">
        <f t="shared" si="1"/>
        <v>0</v>
      </c>
      <c r="AF29" s="84">
        <f t="shared" si="2"/>
        <v>0</v>
      </c>
      <c r="AG29" s="87">
        <f t="shared" si="3"/>
        <v>39.6</v>
      </c>
      <c r="AH29" s="86">
        <v>300</v>
      </c>
      <c r="AI29" s="86">
        <v>185.13323983169707</v>
      </c>
      <c r="AJ29" s="86">
        <v>713</v>
      </c>
      <c r="AK29" s="86">
        <v>1200</v>
      </c>
      <c r="AL29" s="87">
        <f t="shared" si="4"/>
        <v>158.4</v>
      </c>
      <c r="AM29" s="87">
        <f t="shared" si="5"/>
        <v>68.761439999999993</v>
      </c>
      <c r="AN29" s="88">
        <f t="shared" si="6"/>
        <v>222159.88779803648</v>
      </c>
      <c r="AO29" s="88">
        <f t="shared" si="7"/>
        <v>55539.971949509119</v>
      </c>
      <c r="AP29" s="89">
        <f t="shared" si="8"/>
        <v>0.54259999999999997</v>
      </c>
      <c r="AQ29" s="90">
        <f t="shared" si="9"/>
        <v>2.1703999999999999</v>
      </c>
      <c r="AR29" s="91" t="s">
        <v>783</v>
      </c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</row>
    <row r="30" spans="1:147" s="120" customFormat="1" ht="12.5" hidden="1">
      <c r="A30" s="62" t="s">
        <v>491</v>
      </c>
      <c r="B30" s="62" t="s">
        <v>682</v>
      </c>
      <c r="C30" s="63" t="s">
        <v>356</v>
      </c>
      <c r="D30" s="64">
        <v>1</v>
      </c>
      <c r="E30" s="65" t="s">
        <v>740</v>
      </c>
      <c r="F30" s="61"/>
      <c r="G30" s="66">
        <v>2374</v>
      </c>
      <c r="H30" s="61"/>
      <c r="I30" s="61"/>
      <c r="J30" s="60">
        <v>303</v>
      </c>
      <c r="K30" s="77" t="s">
        <v>143</v>
      </c>
      <c r="L30" s="77" t="s">
        <v>149</v>
      </c>
      <c r="M30" s="78" t="s">
        <v>575</v>
      </c>
      <c r="N30" s="77" t="s">
        <v>611</v>
      </c>
      <c r="O30" s="77" t="s">
        <v>760</v>
      </c>
      <c r="P30" s="79">
        <v>0</v>
      </c>
      <c r="Q30" s="80" t="s">
        <v>25</v>
      </c>
      <c r="R30" s="80" t="s">
        <v>26</v>
      </c>
      <c r="S30" s="78">
        <v>2029</v>
      </c>
      <c r="T30" s="81">
        <v>47391</v>
      </c>
      <c r="U30" s="82">
        <v>0.4</v>
      </c>
      <c r="V30" s="82">
        <v>0.5</v>
      </c>
      <c r="W30" s="83">
        <f t="shared" si="0"/>
        <v>0.9</v>
      </c>
      <c r="X30" s="82">
        <v>7.0000000000000007E-2</v>
      </c>
      <c r="Y30" s="82">
        <v>9.5000000000000001E-2</v>
      </c>
      <c r="Z30" s="82">
        <v>6.8000000000000005E-2</v>
      </c>
      <c r="AA30" s="84">
        <v>0.19800000000000001</v>
      </c>
      <c r="AB30" s="82">
        <v>9.9999999999999978E-2</v>
      </c>
      <c r="AC30" s="85">
        <f t="shared" si="11"/>
        <v>150500</v>
      </c>
      <c r="AD30" s="81"/>
      <c r="AE30" s="86">
        <f t="shared" si="1"/>
        <v>0</v>
      </c>
      <c r="AF30" s="84">
        <f t="shared" si="2"/>
        <v>0</v>
      </c>
      <c r="AG30" s="87">
        <f t="shared" si="3"/>
        <v>26.337499999999995</v>
      </c>
      <c r="AH30" s="86">
        <v>175</v>
      </c>
      <c r="AI30" s="86">
        <v>446.58753709198811</v>
      </c>
      <c r="AJ30" s="86">
        <v>337</v>
      </c>
      <c r="AK30" s="86">
        <v>750</v>
      </c>
      <c r="AL30" s="87">
        <f t="shared" si="4"/>
        <v>112.875</v>
      </c>
      <c r="AM30" s="87">
        <f t="shared" si="5"/>
        <v>45.150000000000006</v>
      </c>
      <c r="AN30" s="88">
        <f t="shared" si="6"/>
        <v>334940.6528189911</v>
      </c>
      <c r="AO30" s="88">
        <f t="shared" si="7"/>
        <v>78152.818991097913</v>
      </c>
      <c r="AP30" s="89">
        <f t="shared" si="8"/>
        <v>0.5</v>
      </c>
      <c r="AQ30" s="90">
        <f t="shared" si="9"/>
        <v>2.1428571428571432</v>
      </c>
      <c r="AR30" s="91" t="s">
        <v>783</v>
      </c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</row>
    <row r="31" spans="1:147" s="59" customFormat="1" ht="12.5" hidden="1">
      <c r="A31" s="103" t="s">
        <v>493</v>
      </c>
      <c r="B31" s="103" t="s">
        <v>685</v>
      </c>
      <c r="C31" s="104" t="s">
        <v>352</v>
      </c>
      <c r="D31" s="33">
        <v>1</v>
      </c>
      <c r="E31" s="34" t="s">
        <v>740</v>
      </c>
      <c r="F31" s="35"/>
      <c r="G31" s="36">
        <v>2373</v>
      </c>
      <c r="H31" s="35"/>
      <c r="I31" s="35"/>
      <c r="J31" s="37">
        <v>306</v>
      </c>
      <c r="K31" s="105" t="s">
        <v>143</v>
      </c>
      <c r="L31" s="105" t="s">
        <v>150</v>
      </c>
      <c r="M31" s="106" t="s">
        <v>575</v>
      </c>
      <c r="N31" s="105" t="s">
        <v>604</v>
      </c>
      <c r="O31" s="105" t="s">
        <v>760</v>
      </c>
      <c r="P31" s="107">
        <v>0</v>
      </c>
      <c r="Q31" s="108" t="s">
        <v>25</v>
      </c>
      <c r="R31" s="108" t="s">
        <v>26</v>
      </c>
      <c r="S31" s="106">
        <v>2029</v>
      </c>
      <c r="T31" s="109">
        <v>47299</v>
      </c>
      <c r="U31" s="110">
        <v>0.59179999999999999</v>
      </c>
      <c r="V31" s="110">
        <v>0.26029999999999998</v>
      </c>
      <c r="W31" s="111">
        <f t="shared" si="0"/>
        <v>0.85209999999999997</v>
      </c>
      <c r="X31" s="110">
        <v>7.0000000000000007E-2</v>
      </c>
      <c r="Y31" s="110">
        <v>9.5000000000000001E-2</v>
      </c>
      <c r="Z31" s="110">
        <v>6.8000000000000005E-2</v>
      </c>
      <c r="AA31" s="112">
        <v>0.19800000000000001</v>
      </c>
      <c r="AB31" s="110">
        <v>0.14790000000000003</v>
      </c>
      <c r="AC31" s="113">
        <f t="shared" si="11"/>
        <v>375000</v>
      </c>
      <c r="AD31" s="109"/>
      <c r="AE31" s="114">
        <f t="shared" si="1"/>
        <v>0</v>
      </c>
      <c r="AF31" s="112">
        <f t="shared" si="2"/>
        <v>0</v>
      </c>
      <c r="AG31" s="115">
        <f t="shared" si="3"/>
        <v>65.625</v>
      </c>
      <c r="AH31" s="114">
        <v>175</v>
      </c>
      <c r="AI31" s="114">
        <v>400</v>
      </c>
      <c r="AJ31" s="114">
        <v>937.5</v>
      </c>
      <c r="AK31" s="114">
        <v>750</v>
      </c>
      <c r="AL31" s="115">
        <f t="shared" si="4"/>
        <v>281.25</v>
      </c>
      <c r="AM31" s="115">
        <f t="shared" si="5"/>
        <v>166.44374999999999</v>
      </c>
      <c r="AN31" s="116">
        <f t="shared" si="6"/>
        <v>300000</v>
      </c>
      <c r="AO31" s="116">
        <f t="shared" si="7"/>
        <v>70000</v>
      </c>
      <c r="AP31" s="117">
        <f t="shared" si="8"/>
        <v>0.73970000000000002</v>
      </c>
      <c r="AQ31" s="118">
        <f t="shared" si="9"/>
        <v>3.1701428571428574</v>
      </c>
      <c r="AR31" s="119" t="s">
        <v>783</v>
      </c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</row>
    <row r="32" spans="1:147" s="120" customFormat="1" ht="12.5" hidden="1">
      <c r="A32" s="62" t="s">
        <v>503</v>
      </c>
      <c r="B32" s="62" t="s">
        <v>697</v>
      </c>
      <c r="C32" s="63" t="s">
        <v>345</v>
      </c>
      <c r="D32" s="64">
        <v>1</v>
      </c>
      <c r="E32" s="65" t="s">
        <v>739</v>
      </c>
      <c r="F32" s="61"/>
      <c r="G32" s="66">
        <v>2392</v>
      </c>
      <c r="H32" s="61"/>
      <c r="I32" s="61"/>
      <c r="J32" s="60">
        <v>321</v>
      </c>
      <c r="K32" s="77" t="s">
        <v>143</v>
      </c>
      <c r="L32" s="77" t="s">
        <v>156</v>
      </c>
      <c r="M32" s="78" t="s">
        <v>575</v>
      </c>
      <c r="N32" s="77" t="s">
        <v>591</v>
      </c>
      <c r="O32" s="77" t="s">
        <v>760</v>
      </c>
      <c r="P32" s="79">
        <v>0</v>
      </c>
      <c r="Q32" s="80" t="s">
        <v>25</v>
      </c>
      <c r="R32" s="80" t="s">
        <v>26</v>
      </c>
      <c r="S32" s="78">
        <v>2029</v>
      </c>
      <c r="T32" s="81">
        <v>47299</v>
      </c>
      <c r="U32" s="82">
        <v>0.53600000000000003</v>
      </c>
      <c r="V32" s="82">
        <v>0.32999999999999996</v>
      </c>
      <c r="W32" s="83">
        <f t="shared" si="0"/>
        <v>0.86599999999999999</v>
      </c>
      <c r="X32" s="82">
        <v>7.0000000000000007E-2</v>
      </c>
      <c r="Y32" s="82">
        <v>9.5000000000000001E-2</v>
      </c>
      <c r="Z32" s="82">
        <v>6.8000000000000005E-2</v>
      </c>
      <c r="AA32" s="84">
        <v>0.19800000000000001</v>
      </c>
      <c r="AB32" s="82">
        <v>0.13400000000000001</v>
      </c>
      <c r="AC32" s="85">
        <f t="shared" si="11"/>
        <v>107400</v>
      </c>
      <c r="AD32" s="81"/>
      <c r="AE32" s="86">
        <f t="shared" si="1"/>
        <v>0</v>
      </c>
      <c r="AF32" s="84">
        <f t="shared" si="2"/>
        <v>0</v>
      </c>
      <c r="AG32" s="87">
        <f t="shared" si="3"/>
        <v>18.795000000000002</v>
      </c>
      <c r="AH32" s="86">
        <v>175</v>
      </c>
      <c r="AI32" s="86">
        <v>300</v>
      </c>
      <c r="AJ32" s="86">
        <v>358</v>
      </c>
      <c r="AK32" s="86">
        <v>600</v>
      </c>
      <c r="AL32" s="87">
        <f t="shared" si="4"/>
        <v>64.44</v>
      </c>
      <c r="AM32" s="87">
        <f t="shared" si="5"/>
        <v>34.539839999999998</v>
      </c>
      <c r="AN32" s="88">
        <f t="shared" si="6"/>
        <v>180000</v>
      </c>
      <c r="AO32" s="88">
        <f t="shared" si="7"/>
        <v>52500</v>
      </c>
      <c r="AP32" s="89">
        <f t="shared" si="8"/>
        <v>0.67</v>
      </c>
      <c r="AQ32" s="90">
        <f t="shared" si="9"/>
        <v>2.2971428571428567</v>
      </c>
      <c r="AR32" s="91" t="s">
        <v>783</v>
      </c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</row>
    <row r="33" spans="1:147" s="62" customFormat="1" ht="12.5" hidden="1">
      <c r="A33" s="62" t="s">
        <v>506</v>
      </c>
      <c r="B33" s="62" t="s">
        <v>701</v>
      </c>
      <c r="C33" s="63" t="s">
        <v>26</v>
      </c>
      <c r="D33" s="64">
        <v>1</v>
      </c>
      <c r="E33" s="65" t="s">
        <v>740</v>
      </c>
      <c r="F33" s="61"/>
      <c r="G33" s="66">
        <v>2390</v>
      </c>
      <c r="H33" s="61"/>
      <c r="I33" s="61"/>
      <c r="J33" s="60">
        <v>325</v>
      </c>
      <c r="K33" s="77" t="s">
        <v>143</v>
      </c>
      <c r="L33" s="77" t="s">
        <v>158</v>
      </c>
      <c r="M33" s="78" t="s">
        <v>585</v>
      </c>
      <c r="N33" s="77" t="s">
        <v>589</v>
      </c>
      <c r="O33" s="77" t="s">
        <v>760</v>
      </c>
      <c r="P33" s="79">
        <v>0</v>
      </c>
      <c r="Q33" s="80" t="s">
        <v>25</v>
      </c>
      <c r="R33" s="80" t="s">
        <v>26</v>
      </c>
      <c r="S33" s="78">
        <v>2029</v>
      </c>
      <c r="T33" s="81">
        <v>47483</v>
      </c>
      <c r="U33" s="82">
        <v>0.59199999999999997</v>
      </c>
      <c r="V33" s="82">
        <v>0.26</v>
      </c>
      <c r="W33" s="83">
        <f t="shared" si="0"/>
        <v>0.85199999999999998</v>
      </c>
      <c r="X33" s="82">
        <v>7.0000000000000007E-2</v>
      </c>
      <c r="Y33" s="82">
        <v>9.5000000000000001E-2</v>
      </c>
      <c r="Z33" s="82">
        <v>6.8000000000000005E-2</v>
      </c>
      <c r="AA33" s="84">
        <v>0.19800000000000001</v>
      </c>
      <c r="AB33" s="82">
        <v>0.14800000000000002</v>
      </c>
      <c r="AC33" s="85">
        <f t="shared" si="11"/>
        <v>190000</v>
      </c>
      <c r="AD33" s="81"/>
      <c r="AE33" s="86">
        <f t="shared" si="1"/>
        <v>0</v>
      </c>
      <c r="AF33" s="84">
        <f t="shared" si="2"/>
        <v>0</v>
      </c>
      <c r="AG33" s="87">
        <f t="shared" si="3"/>
        <v>33.250000000000007</v>
      </c>
      <c r="AH33" s="86">
        <v>175</v>
      </c>
      <c r="AI33" s="86">
        <v>179.92424242424244</v>
      </c>
      <c r="AJ33" s="86">
        <v>1056</v>
      </c>
      <c r="AK33" s="86">
        <v>550</v>
      </c>
      <c r="AL33" s="87">
        <f t="shared" si="4"/>
        <v>104.5</v>
      </c>
      <c r="AM33" s="87">
        <f t="shared" si="5"/>
        <v>61.863999999999997</v>
      </c>
      <c r="AN33" s="88">
        <f t="shared" si="6"/>
        <v>98958.333333333343</v>
      </c>
      <c r="AO33" s="88">
        <f t="shared" si="7"/>
        <v>31486.742424242428</v>
      </c>
      <c r="AP33" s="89">
        <f t="shared" si="8"/>
        <v>0.74</v>
      </c>
      <c r="AQ33" s="90">
        <f t="shared" si="9"/>
        <v>2.3257142857142852</v>
      </c>
      <c r="AR33" s="91" t="s">
        <v>783</v>
      </c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</row>
    <row r="34" spans="1:147" s="103" customFormat="1" ht="12.5" hidden="1">
      <c r="A34" s="103" t="s">
        <v>560</v>
      </c>
      <c r="B34" s="103" t="s">
        <v>704</v>
      </c>
      <c r="D34" s="33">
        <v>1</v>
      </c>
      <c r="E34" s="34" t="s">
        <v>740</v>
      </c>
      <c r="F34" s="35"/>
      <c r="G34" s="36">
        <v>2393</v>
      </c>
      <c r="H34" s="35"/>
      <c r="I34" s="35"/>
      <c r="J34" s="37"/>
      <c r="K34" s="105" t="s">
        <v>143</v>
      </c>
      <c r="L34" s="105" t="s">
        <v>155</v>
      </c>
      <c r="M34" s="106" t="s">
        <v>575</v>
      </c>
      <c r="N34" s="105" t="s">
        <v>24</v>
      </c>
      <c r="O34" s="105" t="s">
        <v>760</v>
      </c>
      <c r="P34" s="107">
        <v>0</v>
      </c>
      <c r="Q34" s="108" t="s">
        <v>25</v>
      </c>
      <c r="R34" s="108" t="s">
        <v>26</v>
      </c>
      <c r="S34" s="106">
        <v>2029</v>
      </c>
      <c r="T34" s="109"/>
      <c r="U34" s="110">
        <v>0.56000000000000005</v>
      </c>
      <c r="V34" s="110">
        <v>0.3</v>
      </c>
      <c r="W34" s="111">
        <f t="shared" si="0"/>
        <v>0.8600000000000001</v>
      </c>
      <c r="X34" s="110"/>
      <c r="Y34" s="110"/>
      <c r="Z34" s="110"/>
      <c r="AA34" s="112">
        <v>0.19800000000000001</v>
      </c>
      <c r="AB34" s="110"/>
      <c r="AC34" s="113">
        <f t="shared" si="11"/>
        <v>159900</v>
      </c>
      <c r="AD34" s="109"/>
      <c r="AE34" s="114">
        <f t="shared" si="1"/>
        <v>0</v>
      </c>
      <c r="AF34" s="112">
        <f t="shared" si="2"/>
        <v>0</v>
      </c>
      <c r="AG34" s="115">
        <f t="shared" si="3"/>
        <v>27.982500000000002</v>
      </c>
      <c r="AH34" s="114">
        <v>175</v>
      </c>
      <c r="AI34" s="114">
        <v>300</v>
      </c>
      <c r="AJ34" s="114">
        <v>533</v>
      </c>
      <c r="AK34" s="114">
        <v>700</v>
      </c>
      <c r="AL34" s="115">
        <f t="shared" si="4"/>
        <v>111.93</v>
      </c>
      <c r="AM34" s="115">
        <f t="shared" si="5"/>
        <v>62.680800000000012</v>
      </c>
      <c r="AN34" s="116">
        <f t="shared" si="6"/>
        <v>210000</v>
      </c>
      <c r="AO34" s="116">
        <f t="shared" si="7"/>
        <v>52500</v>
      </c>
      <c r="AP34" s="117">
        <f t="shared" si="8"/>
        <v>0.56000000000000005</v>
      </c>
      <c r="AQ34" s="118">
        <f t="shared" si="9"/>
        <v>2.2400000000000002</v>
      </c>
      <c r="AR34" s="119" t="s">
        <v>783</v>
      </c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</row>
    <row r="35" spans="1:147" s="59" customFormat="1" ht="12.5" hidden="1">
      <c r="A35" s="103" t="s">
        <v>429</v>
      </c>
      <c r="B35" s="103" t="s">
        <v>407</v>
      </c>
      <c r="C35" s="104" t="s">
        <v>328</v>
      </c>
      <c r="D35" s="33">
        <v>1</v>
      </c>
      <c r="E35" s="34" t="s">
        <v>740</v>
      </c>
      <c r="F35" s="35"/>
      <c r="G35" s="36" t="s">
        <v>753</v>
      </c>
      <c r="H35" s="35"/>
      <c r="I35" s="35"/>
      <c r="J35" s="37">
        <v>180</v>
      </c>
      <c r="K35" s="105" t="s">
        <v>53</v>
      </c>
      <c r="L35" s="105" t="s">
        <v>54</v>
      </c>
      <c r="M35" s="106" t="s">
        <v>568</v>
      </c>
      <c r="N35" s="105" t="s">
        <v>794</v>
      </c>
      <c r="O35" s="105" t="s">
        <v>760</v>
      </c>
      <c r="P35" s="107">
        <v>0</v>
      </c>
      <c r="Q35" s="108" t="s">
        <v>73</v>
      </c>
      <c r="R35" s="108" t="s">
        <v>26</v>
      </c>
      <c r="S35" s="106">
        <v>2029</v>
      </c>
      <c r="T35" s="109">
        <v>47483</v>
      </c>
      <c r="U35" s="110">
        <v>0.438</v>
      </c>
      <c r="V35" s="110">
        <v>0.27</v>
      </c>
      <c r="W35" s="111">
        <f t="shared" si="0"/>
        <v>0.70799999999999996</v>
      </c>
      <c r="X35" s="110">
        <v>0.05</v>
      </c>
      <c r="Y35" s="110">
        <v>9.0000000000000011E-2</v>
      </c>
      <c r="Z35" s="110">
        <v>6.8000000000000005E-2</v>
      </c>
      <c r="AA35" s="112">
        <v>0.19800000000000001</v>
      </c>
      <c r="AB35" s="110">
        <v>0.29200000000000004</v>
      </c>
      <c r="AC35" s="113">
        <f t="shared" si="11"/>
        <v>202246.8762222222</v>
      </c>
      <c r="AD35" s="109"/>
      <c r="AE35" s="114">
        <f t="shared" si="1"/>
        <v>0</v>
      </c>
      <c r="AF35" s="112">
        <f t="shared" si="2"/>
        <v>0</v>
      </c>
      <c r="AG35" s="115">
        <f t="shared" si="3"/>
        <v>44.494312768888889</v>
      </c>
      <c r="AH35" s="114">
        <v>220</v>
      </c>
      <c r="AI35" s="114">
        <v>439.66712222222219</v>
      </c>
      <c r="AJ35" s="114">
        <v>460</v>
      </c>
      <c r="AK35" s="114">
        <v>900</v>
      </c>
      <c r="AL35" s="115">
        <f t="shared" si="4"/>
        <v>182.02218859999999</v>
      </c>
      <c r="AM35" s="115">
        <f t="shared" si="5"/>
        <v>79.725718606800001</v>
      </c>
      <c r="AN35" s="116">
        <f t="shared" si="6"/>
        <v>395700.41</v>
      </c>
      <c r="AO35" s="116">
        <f t="shared" si="7"/>
        <v>96726.766888888887</v>
      </c>
      <c r="AP35" s="117">
        <f t="shared" si="8"/>
        <v>0.73</v>
      </c>
      <c r="AQ35" s="118">
        <f t="shared" si="9"/>
        <v>2.9863636363636359</v>
      </c>
      <c r="AR35" s="119" t="s">
        <v>783</v>
      </c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</row>
    <row r="36" spans="1:147" s="120" customFormat="1" ht="12.5" hidden="1">
      <c r="A36" s="62" t="s">
        <v>429</v>
      </c>
      <c r="B36" s="62" t="s">
        <v>408</v>
      </c>
      <c r="C36" s="63" t="s">
        <v>328</v>
      </c>
      <c r="D36" s="64">
        <v>1</v>
      </c>
      <c r="E36" s="65" t="s">
        <v>740</v>
      </c>
      <c r="F36" s="61"/>
      <c r="G36" s="66" t="s">
        <v>753</v>
      </c>
      <c r="H36" s="61"/>
      <c r="I36" s="61"/>
      <c r="J36" s="60">
        <v>181</v>
      </c>
      <c r="K36" s="77" t="s">
        <v>53</v>
      </c>
      <c r="L36" s="77" t="s">
        <v>54</v>
      </c>
      <c r="M36" s="78" t="s">
        <v>568</v>
      </c>
      <c r="N36" s="77" t="s">
        <v>795</v>
      </c>
      <c r="O36" s="77" t="s">
        <v>760</v>
      </c>
      <c r="P36" s="79">
        <v>0</v>
      </c>
      <c r="Q36" s="80" t="s">
        <v>73</v>
      </c>
      <c r="R36" s="80" t="s">
        <v>26</v>
      </c>
      <c r="S36" s="78">
        <v>2029</v>
      </c>
      <c r="T36" s="81">
        <v>47483</v>
      </c>
      <c r="U36" s="82">
        <v>0.438</v>
      </c>
      <c r="V36" s="82">
        <v>0.27</v>
      </c>
      <c r="W36" s="83">
        <f t="shared" si="0"/>
        <v>0.70799999999999996</v>
      </c>
      <c r="X36" s="82">
        <v>0.05</v>
      </c>
      <c r="Y36" s="82">
        <v>9.0000000000000011E-2</v>
      </c>
      <c r="Z36" s="82">
        <v>6.8000000000000005E-2</v>
      </c>
      <c r="AA36" s="84">
        <v>0.19800000000000001</v>
      </c>
      <c r="AB36" s="82">
        <v>0.29200000000000004</v>
      </c>
      <c r="AC36" s="85">
        <f t="shared" si="11"/>
        <v>202246.8762222222</v>
      </c>
      <c r="AD36" s="81"/>
      <c r="AE36" s="86">
        <f t="shared" si="1"/>
        <v>0</v>
      </c>
      <c r="AF36" s="84">
        <f t="shared" si="2"/>
        <v>0</v>
      </c>
      <c r="AG36" s="87">
        <f t="shared" si="3"/>
        <v>44.494312768888889</v>
      </c>
      <c r="AH36" s="86">
        <v>220</v>
      </c>
      <c r="AI36" s="86">
        <v>439.66712222222219</v>
      </c>
      <c r="AJ36" s="86">
        <v>460</v>
      </c>
      <c r="AK36" s="86">
        <v>900</v>
      </c>
      <c r="AL36" s="87">
        <f t="shared" si="4"/>
        <v>182.02218859999999</v>
      </c>
      <c r="AM36" s="87">
        <f t="shared" si="5"/>
        <v>79.725718606800001</v>
      </c>
      <c r="AN36" s="88">
        <f t="shared" si="6"/>
        <v>395700.41</v>
      </c>
      <c r="AO36" s="88">
        <f t="shared" si="7"/>
        <v>96726.766888888887</v>
      </c>
      <c r="AP36" s="89">
        <f t="shared" si="8"/>
        <v>0.73</v>
      </c>
      <c r="AQ36" s="90">
        <f t="shared" si="9"/>
        <v>2.9863636363636359</v>
      </c>
      <c r="AR36" s="91" t="s">
        <v>783</v>
      </c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</row>
    <row r="37" spans="1:147" s="59" customFormat="1" ht="12.5" hidden="1">
      <c r="A37" s="103" t="s">
        <v>523</v>
      </c>
      <c r="B37" s="103" t="s">
        <v>311</v>
      </c>
      <c r="C37" s="104" t="s">
        <v>332</v>
      </c>
      <c r="D37" s="33">
        <v>1</v>
      </c>
      <c r="E37" s="34" t="s">
        <v>740</v>
      </c>
      <c r="F37" s="35"/>
      <c r="G37" s="36">
        <v>2770</v>
      </c>
      <c r="H37" s="35"/>
      <c r="I37" s="35"/>
      <c r="J37" s="37">
        <v>358</v>
      </c>
      <c r="K37" s="105" t="s">
        <v>548</v>
      </c>
      <c r="L37" s="105" t="s">
        <v>182</v>
      </c>
      <c r="M37" s="106" t="s">
        <v>579</v>
      </c>
      <c r="N37" s="105" t="s">
        <v>183</v>
      </c>
      <c r="O37" s="105" t="s">
        <v>760</v>
      </c>
      <c r="P37" s="107">
        <v>0</v>
      </c>
      <c r="Q37" s="108" t="s">
        <v>25</v>
      </c>
      <c r="R37" s="108" t="s">
        <v>26</v>
      </c>
      <c r="S37" s="106">
        <v>2030</v>
      </c>
      <c r="T37" s="109">
        <v>47848</v>
      </c>
      <c r="U37" s="110">
        <v>0.8</v>
      </c>
      <c r="V37" s="110"/>
      <c r="W37" s="111">
        <f t="shared" si="0"/>
        <v>0.8</v>
      </c>
      <c r="X37" s="110"/>
      <c r="Y37" s="110"/>
      <c r="Z37" s="110"/>
      <c r="AA37" s="112">
        <v>0.19800000000000001</v>
      </c>
      <c r="AB37" s="110">
        <v>0.19999999999999996</v>
      </c>
      <c r="AC37" s="113">
        <f t="shared" si="11"/>
        <v>260020.40000000002</v>
      </c>
      <c r="AD37" s="109"/>
      <c r="AE37" s="114">
        <f t="shared" si="1"/>
        <v>0</v>
      </c>
      <c r="AF37" s="112">
        <f t="shared" si="2"/>
        <v>0</v>
      </c>
      <c r="AG37" s="115">
        <f t="shared" si="3"/>
        <v>38.483019200000001</v>
      </c>
      <c r="AH37" s="114">
        <v>148</v>
      </c>
      <c r="AI37" s="114">
        <v>296.82694063926942</v>
      </c>
      <c r="AJ37" s="114">
        <v>876</v>
      </c>
      <c r="AK37" s="114">
        <v>500</v>
      </c>
      <c r="AL37" s="115">
        <f t="shared" si="4"/>
        <v>130.01020000000003</v>
      </c>
      <c r="AM37" s="115">
        <f t="shared" si="5"/>
        <v>104.00816000000003</v>
      </c>
      <c r="AN37" s="116">
        <f t="shared" si="6"/>
        <v>148413.47031963471</v>
      </c>
      <c r="AO37" s="116">
        <f t="shared" si="7"/>
        <v>43930.387214611874</v>
      </c>
      <c r="AP37" s="117">
        <f t="shared" si="8"/>
        <v>1</v>
      </c>
      <c r="AQ37" s="118">
        <f t="shared" si="9"/>
        <v>3.378378378378379</v>
      </c>
      <c r="AR37" s="119" t="s">
        <v>783</v>
      </c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</row>
    <row r="38" spans="1:147" s="120" customFormat="1" ht="12.5" hidden="1">
      <c r="A38" s="62" t="s">
        <v>446</v>
      </c>
      <c r="B38" s="62" t="s">
        <v>243</v>
      </c>
      <c r="C38" s="63" t="s">
        <v>390</v>
      </c>
      <c r="D38" s="64">
        <v>1</v>
      </c>
      <c r="E38" s="65" t="s">
        <v>740</v>
      </c>
      <c r="F38" s="61"/>
      <c r="G38" s="66">
        <v>2056</v>
      </c>
      <c r="H38" s="61"/>
      <c r="I38" s="61"/>
      <c r="J38" s="60">
        <v>208</v>
      </c>
      <c r="K38" s="77" t="s">
        <v>93</v>
      </c>
      <c r="L38" s="77" t="s">
        <v>98</v>
      </c>
      <c r="M38" s="78" t="s">
        <v>571</v>
      </c>
      <c r="N38" s="77" t="s">
        <v>100</v>
      </c>
      <c r="O38" s="77" t="s">
        <v>760</v>
      </c>
      <c r="P38" s="79">
        <v>0</v>
      </c>
      <c r="Q38" s="80" t="s">
        <v>25</v>
      </c>
      <c r="R38" s="80" t="s">
        <v>759</v>
      </c>
      <c r="S38" s="78">
        <v>2030</v>
      </c>
      <c r="T38" s="81">
        <v>47572</v>
      </c>
      <c r="U38" s="82">
        <v>0.79</v>
      </c>
      <c r="V38" s="82">
        <v>0.20999999999999996</v>
      </c>
      <c r="W38" s="83">
        <f t="shared" si="0"/>
        <v>1</v>
      </c>
      <c r="X38" s="82">
        <v>0.05</v>
      </c>
      <c r="Y38" s="82">
        <v>0</v>
      </c>
      <c r="Z38" s="82">
        <v>6.8000000000000005E-2</v>
      </c>
      <c r="AA38" s="84">
        <v>0.19800000000000001</v>
      </c>
      <c r="AB38" s="82"/>
      <c r="AC38" s="85">
        <v>201305</v>
      </c>
      <c r="AD38" s="81"/>
      <c r="AE38" s="86">
        <f t="shared" si="1"/>
        <v>0</v>
      </c>
      <c r="AF38" s="84">
        <f t="shared" si="2"/>
        <v>0</v>
      </c>
      <c r="AG38" s="87">
        <f t="shared" si="3"/>
        <v>21.793536</v>
      </c>
      <c r="AH38" s="86">
        <v>108</v>
      </c>
      <c r="AI38" s="86">
        <v>192</v>
      </c>
      <c r="AJ38" s="86">
        <v>1051</v>
      </c>
      <c r="AK38" s="86">
        <v>480</v>
      </c>
      <c r="AL38" s="87">
        <f t="shared" si="4"/>
        <v>96.860159999999993</v>
      </c>
      <c r="AM38" s="87">
        <f t="shared" si="5"/>
        <v>76.519526400000004</v>
      </c>
      <c r="AN38" s="88">
        <f t="shared" si="6"/>
        <v>92160</v>
      </c>
      <c r="AO38" s="88">
        <f t="shared" si="7"/>
        <v>20736</v>
      </c>
      <c r="AP38" s="89">
        <f t="shared" si="8"/>
        <v>0.79</v>
      </c>
      <c r="AQ38" s="90">
        <f t="shared" si="9"/>
        <v>3.5111111111111115</v>
      </c>
      <c r="AR38" s="91" t="s">
        <v>783</v>
      </c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</row>
    <row r="39" spans="1:147" s="59" customFormat="1" ht="12.5" hidden="1">
      <c r="A39" s="62" t="s">
        <v>448</v>
      </c>
      <c r="B39" s="62" t="s">
        <v>246</v>
      </c>
      <c r="C39" s="63" t="s">
        <v>389</v>
      </c>
      <c r="D39" s="64">
        <v>1</v>
      </c>
      <c r="E39" s="65" t="s">
        <v>740</v>
      </c>
      <c r="F39" s="61" t="s">
        <v>541</v>
      </c>
      <c r="G39" s="66">
        <v>2052</v>
      </c>
      <c r="H39" s="61"/>
      <c r="I39" s="61"/>
      <c r="J39" s="60">
        <v>212</v>
      </c>
      <c r="K39" s="77" t="s">
        <v>93</v>
      </c>
      <c r="L39" s="77" t="s">
        <v>101</v>
      </c>
      <c r="M39" s="78" t="s">
        <v>580</v>
      </c>
      <c r="N39" s="77" t="s">
        <v>46</v>
      </c>
      <c r="O39" s="77" t="s">
        <v>760</v>
      </c>
      <c r="P39" s="79">
        <v>0</v>
      </c>
      <c r="Q39" s="80" t="s">
        <v>25</v>
      </c>
      <c r="R39" s="80" t="s">
        <v>26</v>
      </c>
      <c r="S39" s="78">
        <v>2030</v>
      </c>
      <c r="T39" s="81">
        <v>48487</v>
      </c>
      <c r="U39" s="82">
        <v>0.8</v>
      </c>
      <c r="V39" s="82">
        <v>0.19999999999999996</v>
      </c>
      <c r="W39" s="83">
        <f t="shared" ref="W39:W70" si="12">SUM(U39:V39)</f>
        <v>1</v>
      </c>
      <c r="X39" s="82">
        <v>0.05</v>
      </c>
      <c r="Y39" s="82">
        <v>0</v>
      </c>
      <c r="Z39" s="82">
        <v>6.8000000000000005E-2</v>
      </c>
      <c r="AA39" s="84">
        <v>0.19800000000000001</v>
      </c>
      <c r="AB39" s="82"/>
      <c r="AC39" s="85">
        <f t="shared" ref="AC39:AC70" si="13">AI39*AJ39</f>
        <v>271890</v>
      </c>
      <c r="AD39" s="81"/>
      <c r="AE39" s="86">
        <f t="shared" ref="AE39:AE70" si="14">P39/10^6</f>
        <v>0</v>
      </c>
      <c r="AF39" s="84">
        <f t="shared" ref="AF39:AF70" si="15">IF(AL39=0,0,AE39/AL39)</f>
        <v>0</v>
      </c>
      <c r="AG39" s="87">
        <f t="shared" ref="AG39:AG70" si="16">(AH39*AI39*AJ39)/10^6</f>
        <v>32.626800000000003</v>
      </c>
      <c r="AH39" s="86">
        <v>120</v>
      </c>
      <c r="AI39" s="86">
        <v>265</v>
      </c>
      <c r="AJ39" s="86">
        <v>1026</v>
      </c>
      <c r="AK39" s="86">
        <v>500</v>
      </c>
      <c r="AL39" s="87">
        <f t="shared" ref="AL39:AL70" si="17">(AK39*AJ39*AI39)/10^6</f>
        <v>135.94499999999999</v>
      </c>
      <c r="AM39" s="87">
        <f t="shared" ref="AM39:AM70" si="18">AL39*U39</f>
        <v>108.756</v>
      </c>
      <c r="AN39" s="88">
        <f t="shared" ref="AN39:AN70" si="19">AI39*AK39</f>
        <v>132500</v>
      </c>
      <c r="AO39" s="88">
        <f t="shared" ref="AO39:AO70" si="20">AH39*AI39</f>
        <v>31800</v>
      </c>
      <c r="AP39" s="89">
        <f t="shared" ref="AP39:AP70" si="21">U39+AB39</f>
        <v>0.8</v>
      </c>
      <c r="AQ39" s="90">
        <f t="shared" ref="AQ39:AQ70" si="22">AL39*AP39/(AG39+AE39)</f>
        <v>3.333333333333333</v>
      </c>
      <c r="AR39" s="91" t="s">
        <v>783</v>
      </c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</row>
    <row r="40" spans="1:147" s="120" customFormat="1" ht="12.5" hidden="1">
      <c r="A40" s="62" t="s">
        <v>419</v>
      </c>
      <c r="B40" s="62" t="s">
        <v>194</v>
      </c>
      <c r="C40" s="63" t="s">
        <v>320</v>
      </c>
      <c r="D40" s="64">
        <v>1</v>
      </c>
      <c r="E40" s="65" t="s">
        <v>740</v>
      </c>
      <c r="F40" s="61"/>
      <c r="G40" s="66">
        <v>2121</v>
      </c>
      <c r="H40" s="61"/>
      <c r="I40" s="61"/>
      <c r="J40" s="60">
        <v>150</v>
      </c>
      <c r="K40" s="77" t="s">
        <v>22</v>
      </c>
      <c r="L40" s="77" t="s">
        <v>39</v>
      </c>
      <c r="M40" s="78" t="s">
        <v>567</v>
      </c>
      <c r="N40" s="77" t="s">
        <v>40</v>
      </c>
      <c r="O40" s="77" t="s">
        <v>761</v>
      </c>
      <c r="P40" s="93">
        <v>4800000</v>
      </c>
      <c r="Q40" s="80" t="s">
        <v>25</v>
      </c>
      <c r="R40" s="80" t="s">
        <v>759</v>
      </c>
      <c r="S40" s="78">
        <v>2030</v>
      </c>
      <c r="T40" s="81">
        <v>47848</v>
      </c>
      <c r="U40" s="82">
        <v>1</v>
      </c>
      <c r="V40" s="82"/>
      <c r="W40" s="83">
        <f t="shared" si="12"/>
        <v>1</v>
      </c>
      <c r="X40" s="82"/>
      <c r="Y40" s="82"/>
      <c r="Z40" s="82"/>
      <c r="AA40" s="84">
        <v>0.19800000000000001</v>
      </c>
      <c r="AB40" s="82"/>
      <c r="AC40" s="85">
        <f t="shared" si="13"/>
        <v>61214.159999999996</v>
      </c>
      <c r="AD40" s="81"/>
      <c r="AE40" s="86">
        <f t="shared" si="14"/>
        <v>4.8</v>
      </c>
      <c r="AF40" s="84">
        <f t="shared" si="15"/>
        <v>0.15682645976029075</v>
      </c>
      <c r="AG40" s="87">
        <f t="shared" si="16"/>
        <v>8.1476046959999984</v>
      </c>
      <c r="AH40" s="86">
        <v>133.1</v>
      </c>
      <c r="AI40" s="86">
        <v>275.73945945945945</v>
      </c>
      <c r="AJ40" s="86">
        <v>222</v>
      </c>
      <c r="AK40" s="86">
        <v>500</v>
      </c>
      <c r="AL40" s="87">
        <f t="shared" si="17"/>
        <v>30.60708</v>
      </c>
      <c r="AM40" s="87">
        <f t="shared" si="18"/>
        <v>30.60708</v>
      </c>
      <c r="AN40" s="88">
        <f t="shared" si="19"/>
        <v>137869.72972972973</v>
      </c>
      <c r="AO40" s="88">
        <f t="shared" si="20"/>
        <v>36700.922054054048</v>
      </c>
      <c r="AP40" s="89">
        <f t="shared" si="21"/>
        <v>1</v>
      </c>
      <c r="AQ40" s="90">
        <f t="shared" si="22"/>
        <v>2.363918324557412</v>
      </c>
      <c r="AR40" s="91" t="s">
        <v>783</v>
      </c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</row>
    <row r="41" spans="1:147" s="59" customFormat="1" ht="12.5" hidden="1">
      <c r="A41" s="62" t="s">
        <v>426</v>
      </c>
      <c r="B41" s="62" t="s">
        <v>198</v>
      </c>
      <c r="C41" s="63" t="s">
        <v>324</v>
      </c>
      <c r="D41" s="64">
        <v>1</v>
      </c>
      <c r="E41" s="65" t="s">
        <v>740</v>
      </c>
      <c r="F41" s="61"/>
      <c r="G41" s="66">
        <v>2123</v>
      </c>
      <c r="H41" s="61"/>
      <c r="I41" s="61"/>
      <c r="J41" s="60">
        <v>154</v>
      </c>
      <c r="K41" s="77" t="s">
        <v>22</v>
      </c>
      <c r="L41" s="77" t="s">
        <v>44</v>
      </c>
      <c r="M41" s="78" t="s">
        <v>567</v>
      </c>
      <c r="N41" s="77" t="s">
        <v>46</v>
      </c>
      <c r="O41" s="77" t="s">
        <v>756</v>
      </c>
      <c r="P41" s="79">
        <v>114285.71</v>
      </c>
      <c r="Q41" s="80" t="s">
        <v>25</v>
      </c>
      <c r="R41" s="80" t="s">
        <v>759</v>
      </c>
      <c r="S41" s="78">
        <v>2030</v>
      </c>
      <c r="T41" s="81">
        <v>47848</v>
      </c>
      <c r="U41" s="82">
        <v>1</v>
      </c>
      <c r="V41" s="82"/>
      <c r="W41" s="83">
        <f t="shared" si="12"/>
        <v>1</v>
      </c>
      <c r="X41" s="82"/>
      <c r="Y41" s="82"/>
      <c r="Z41" s="82"/>
      <c r="AA41" s="84">
        <v>0.19800000000000001</v>
      </c>
      <c r="AB41" s="82"/>
      <c r="AC41" s="85">
        <f t="shared" si="13"/>
        <v>105000</v>
      </c>
      <c r="AD41" s="81"/>
      <c r="AE41" s="86">
        <f t="shared" si="14"/>
        <v>0.11428571000000001</v>
      </c>
      <c r="AF41" s="84">
        <f t="shared" si="15"/>
        <v>2.7908598290598292E-3</v>
      </c>
      <c r="AG41" s="87">
        <f t="shared" si="16"/>
        <v>13.9755</v>
      </c>
      <c r="AH41" s="86">
        <v>133.1</v>
      </c>
      <c r="AI41" s="86">
        <v>210</v>
      </c>
      <c r="AJ41" s="86">
        <v>500</v>
      </c>
      <c r="AK41" s="86">
        <v>390</v>
      </c>
      <c r="AL41" s="87">
        <f t="shared" si="17"/>
        <v>40.950000000000003</v>
      </c>
      <c r="AM41" s="87">
        <f t="shared" si="18"/>
        <v>40.950000000000003</v>
      </c>
      <c r="AN41" s="88">
        <f t="shared" si="19"/>
        <v>81900</v>
      </c>
      <c r="AO41" s="88">
        <f t="shared" si="20"/>
        <v>27951</v>
      </c>
      <c r="AP41" s="89">
        <f t="shared" si="21"/>
        <v>1</v>
      </c>
      <c r="AQ41" s="90">
        <f t="shared" si="22"/>
        <v>2.9063607383990511</v>
      </c>
      <c r="AR41" s="91" t="s">
        <v>783</v>
      </c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</row>
    <row r="42" spans="1:147" s="120" customFormat="1" ht="12.5" hidden="1">
      <c r="A42" s="62" t="s">
        <v>514</v>
      </c>
      <c r="B42" s="62" t="s">
        <v>300</v>
      </c>
      <c r="C42" s="63" t="s">
        <v>340</v>
      </c>
      <c r="D42" s="64">
        <v>1</v>
      </c>
      <c r="E42" s="65" t="s">
        <v>740</v>
      </c>
      <c r="F42" s="61"/>
      <c r="G42" s="66">
        <v>1930</v>
      </c>
      <c r="H42" s="61"/>
      <c r="I42" s="61"/>
      <c r="J42" s="60">
        <v>346</v>
      </c>
      <c r="K42" s="77" t="s">
        <v>159</v>
      </c>
      <c r="L42" s="77" t="s">
        <v>167</v>
      </c>
      <c r="M42" s="78" t="s">
        <v>577</v>
      </c>
      <c r="N42" s="77" t="s">
        <v>85</v>
      </c>
      <c r="O42" s="77" t="s">
        <v>760</v>
      </c>
      <c r="P42" s="79">
        <v>0</v>
      </c>
      <c r="Q42" s="80" t="s">
        <v>73</v>
      </c>
      <c r="R42" s="80" t="s">
        <v>26</v>
      </c>
      <c r="S42" s="78">
        <v>2030</v>
      </c>
      <c r="T42" s="81">
        <v>47664</v>
      </c>
      <c r="U42" s="82">
        <v>0.7</v>
      </c>
      <c r="V42" s="82">
        <v>0.30000000000000004</v>
      </c>
      <c r="W42" s="83">
        <f t="shared" si="12"/>
        <v>1</v>
      </c>
      <c r="X42" s="82">
        <v>0.05</v>
      </c>
      <c r="Y42" s="82">
        <v>9.0000000000000011E-2</v>
      </c>
      <c r="Z42" s="82">
        <v>6.8000000000000005E-2</v>
      </c>
      <c r="AA42" s="84">
        <v>0.19800000000000001</v>
      </c>
      <c r="AB42" s="82"/>
      <c r="AC42" s="85">
        <f t="shared" si="13"/>
        <v>139700</v>
      </c>
      <c r="AD42" s="81"/>
      <c r="AE42" s="86">
        <f t="shared" si="14"/>
        <v>0</v>
      </c>
      <c r="AF42" s="84">
        <f t="shared" si="15"/>
        <v>0</v>
      </c>
      <c r="AG42" s="87">
        <f t="shared" si="16"/>
        <v>36.322000000000003</v>
      </c>
      <c r="AH42" s="86">
        <v>260</v>
      </c>
      <c r="AI42" s="86">
        <v>220</v>
      </c>
      <c r="AJ42" s="86">
        <v>635</v>
      </c>
      <c r="AK42" s="86">
        <v>1200</v>
      </c>
      <c r="AL42" s="87">
        <f t="shared" si="17"/>
        <v>167.64</v>
      </c>
      <c r="AM42" s="87">
        <f t="shared" si="18"/>
        <v>117.34799999999998</v>
      </c>
      <c r="AN42" s="88">
        <f t="shared" si="19"/>
        <v>264000</v>
      </c>
      <c r="AO42" s="88">
        <f t="shared" si="20"/>
        <v>57200</v>
      </c>
      <c r="AP42" s="89">
        <f t="shared" si="21"/>
        <v>0.7</v>
      </c>
      <c r="AQ42" s="90">
        <f t="shared" si="22"/>
        <v>3.2307692307692299</v>
      </c>
      <c r="AR42" s="91" t="s">
        <v>783</v>
      </c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</row>
    <row r="43" spans="1:147" s="59" customFormat="1" ht="12.5">
      <c r="A43" s="103" t="s">
        <v>513</v>
      </c>
      <c r="B43" s="103" t="s">
        <v>297</v>
      </c>
      <c r="C43" s="104" t="s">
        <v>341</v>
      </c>
      <c r="D43" s="33">
        <v>1</v>
      </c>
      <c r="E43" s="34" t="s">
        <v>740</v>
      </c>
      <c r="F43" s="35"/>
      <c r="G43" s="36">
        <v>2107</v>
      </c>
      <c r="H43" s="35"/>
      <c r="I43" s="35"/>
      <c r="J43" s="37">
        <v>342</v>
      </c>
      <c r="K43" s="105" t="s">
        <v>159</v>
      </c>
      <c r="L43" s="105" t="s">
        <v>166</v>
      </c>
      <c r="M43" s="106" t="s">
        <v>577</v>
      </c>
      <c r="N43" s="105" t="s">
        <v>45</v>
      </c>
      <c r="O43" s="105" t="s">
        <v>756</v>
      </c>
      <c r="P43" s="107">
        <v>10682.93</v>
      </c>
      <c r="Q43" s="108" t="s">
        <v>25</v>
      </c>
      <c r="R43" s="108" t="s">
        <v>26</v>
      </c>
      <c r="S43" s="106">
        <v>2030</v>
      </c>
      <c r="T43" s="109">
        <v>47848</v>
      </c>
      <c r="U43" s="110">
        <v>0.7</v>
      </c>
      <c r="V43" s="110">
        <v>0.30000000000000004</v>
      </c>
      <c r="W43" s="111">
        <f t="shared" si="12"/>
        <v>1</v>
      </c>
      <c r="X43" s="110">
        <v>0.05</v>
      </c>
      <c r="Y43" s="110">
        <v>9.0000000000000011E-2</v>
      </c>
      <c r="Z43" s="110">
        <v>6.8000000000000005E-2</v>
      </c>
      <c r="AA43" s="112">
        <v>0.19800000000000001</v>
      </c>
      <c r="AB43" s="110"/>
      <c r="AC43" s="113">
        <f t="shared" si="13"/>
        <v>240799.2486207328</v>
      </c>
      <c r="AD43" s="109"/>
      <c r="AE43" s="114">
        <f t="shared" si="14"/>
        <v>1.068293E-2</v>
      </c>
      <c r="AF43" s="112">
        <f t="shared" si="15"/>
        <v>8.872893134999758E-5</v>
      </c>
      <c r="AG43" s="115">
        <f t="shared" si="16"/>
        <v>32.026300066557461</v>
      </c>
      <c r="AH43" s="114">
        <v>133</v>
      </c>
      <c r="AI43" s="114">
        <v>264.905664049211</v>
      </c>
      <c r="AJ43" s="114">
        <v>909</v>
      </c>
      <c r="AK43" s="114">
        <v>500.00000000000006</v>
      </c>
      <c r="AL43" s="115">
        <f t="shared" si="17"/>
        <v>120.39962431036641</v>
      </c>
      <c r="AM43" s="115">
        <f t="shared" si="18"/>
        <v>84.27973701725648</v>
      </c>
      <c r="AN43" s="116">
        <f t="shared" si="19"/>
        <v>132452.83202460551</v>
      </c>
      <c r="AO43" s="116">
        <f t="shared" si="20"/>
        <v>35232.453318545064</v>
      </c>
      <c r="AP43" s="117">
        <f t="shared" si="21"/>
        <v>0.7</v>
      </c>
      <c r="AQ43" s="118">
        <f t="shared" si="22"/>
        <v>2.6307014311026968</v>
      </c>
      <c r="AR43" s="119" t="s">
        <v>783</v>
      </c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</row>
    <row r="44" spans="1:147" s="120" customFormat="1" ht="12.5" hidden="1">
      <c r="A44" s="103" t="s">
        <v>449</v>
      </c>
      <c r="B44" s="103" t="s">
        <v>248</v>
      </c>
      <c r="C44" s="104" t="s">
        <v>388</v>
      </c>
      <c r="D44" s="33">
        <v>1</v>
      </c>
      <c r="E44" s="34" t="s">
        <v>740</v>
      </c>
      <c r="F44" s="35"/>
      <c r="G44" s="36">
        <v>2288</v>
      </c>
      <c r="H44" s="35"/>
      <c r="I44" s="35"/>
      <c r="J44" s="37">
        <v>215</v>
      </c>
      <c r="K44" s="105" t="s">
        <v>103</v>
      </c>
      <c r="L44" s="105" t="s">
        <v>104</v>
      </c>
      <c r="M44" s="106" t="s">
        <v>572</v>
      </c>
      <c r="N44" s="105" t="s">
        <v>46</v>
      </c>
      <c r="O44" s="105" t="s">
        <v>760</v>
      </c>
      <c r="P44" s="107">
        <v>0</v>
      </c>
      <c r="Q44" s="108" t="s">
        <v>25</v>
      </c>
      <c r="R44" s="108" t="s">
        <v>26</v>
      </c>
      <c r="S44" s="106">
        <v>2030</v>
      </c>
      <c r="T44" s="109">
        <v>47756</v>
      </c>
      <c r="U44" s="110">
        <v>0.45834999999999998</v>
      </c>
      <c r="V44" s="110">
        <v>0.5</v>
      </c>
      <c r="W44" s="111">
        <f t="shared" si="12"/>
        <v>0.95835000000000004</v>
      </c>
      <c r="X44" s="110">
        <v>0.05</v>
      </c>
      <c r="Y44" s="110">
        <v>0</v>
      </c>
      <c r="Z44" s="110">
        <v>6.8000000000000005E-2</v>
      </c>
      <c r="AA44" s="112">
        <v>0.19800000000000001</v>
      </c>
      <c r="AB44" s="110">
        <v>4.1649999999999965E-2</v>
      </c>
      <c r="AC44" s="113">
        <f t="shared" si="13"/>
        <v>242000</v>
      </c>
      <c r="AD44" s="109"/>
      <c r="AE44" s="114">
        <f t="shared" si="14"/>
        <v>0</v>
      </c>
      <c r="AF44" s="112">
        <f t="shared" si="15"/>
        <v>0</v>
      </c>
      <c r="AG44" s="115">
        <f t="shared" si="16"/>
        <v>39.445999999999998</v>
      </c>
      <c r="AH44" s="114">
        <v>163</v>
      </c>
      <c r="AI44" s="114">
        <v>220</v>
      </c>
      <c r="AJ44" s="114">
        <v>1100</v>
      </c>
      <c r="AK44" s="114">
        <v>600</v>
      </c>
      <c r="AL44" s="115">
        <f t="shared" si="17"/>
        <v>145.19999999999999</v>
      </c>
      <c r="AM44" s="115">
        <f t="shared" si="18"/>
        <v>66.552419999999998</v>
      </c>
      <c r="AN44" s="116">
        <f t="shared" si="19"/>
        <v>132000</v>
      </c>
      <c r="AO44" s="116">
        <f t="shared" si="20"/>
        <v>35860</v>
      </c>
      <c r="AP44" s="117">
        <f t="shared" si="21"/>
        <v>0.49999999999999994</v>
      </c>
      <c r="AQ44" s="118">
        <f t="shared" si="22"/>
        <v>1.8404907975460119</v>
      </c>
      <c r="AR44" s="119" t="s">
        <v>783</v>
      </c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</row>
    <row r="45" spans="1:147" s="59" customFormat="1" ht="12.5" hidden="1">
      <c r="A45" s="103" t="s">
        <v>453</v>
      </c>
      <c r="B45" s="103" t="s">
        <v>252</v>
      </c>
      <c r="C45" s="104" t="s">
        <v>386</v>
      </c>
      <c r="D45" s="33">
        <v>1</v>
      </c>
      <c r="E45" s="34" t="s">
        <v>740</v>
      </c>
      <c r="F45" s="35"/>
      <c r="G45" s="36">
        <v>2299</v>
      </c>
      <c r="H45" s="35"/>
      <c r="I45" s="35"/>
      <c r="J45" s="37">
        <v>221</v>
      </c>
      <c r="K45" s="105" t="s">
        <v>103</v>
      </c>
      <c r="L45" s="105" t="s">
        <v>139</v>
      </c>
      <c r="M45" s="106" t="s">
        <v>574</v>
      </c>
      <c r="N45" s="105" t="s">
        <v>111</v>
      </c>
      <c r="O45" s="105" t="s">
        <v>760</v>
      </c>
      <c r="P45" s="107">
        <v>0</v>
      </c>
      <c r="Q45" s="108" t="s">
        <v>73</v>
      </c>
      <c r="R45" s="108" t="s">
        <v>26</v>
      </c>
      <c r="S45" s="106">
        <v>2030</v>
      </c>
      <c r="T45" s="109">
        <v>47756</v>
      </c>
      <c r="U45" s="110">
        <v>0.41339999999999999</v>
      </c>
      <c r="V45" s="110">
        <v>0.38</v>
      </c>
      <c r="W45" s="111">
        <f t="shared" si="12"/>
        <v>0.79339999999999999</v>
      </c>
      <c r="X45" s="110">
        <v>0.05</v>
      </c>
      <c r="Y45" s="110">
        <v>9.0000000000000011E-2</v>
      </c>
      <c r="Z45" s="110">
        <v>6.8000000000000005E-2</v>
      </c>
      <c r="AA45" s="112">
        <v>0.19800000000000001</v>
      </c>
      <c r="AB45" s="110">
        <v>0.20660000000000001</v>
      </c>
      <c r="AC45" s="113">
        <f t="shared" si="13"/>
        <v>213918.34</v>
      </c>
      <c r="AD45" s="109"/>
      <c r="AE45" s="114">
        <f t="shared" si="14"/>
        <v>0</v>
      </c>
      <c r="AF45" s="112">
        <f t="shared" si="15"/>
        <v>0</v>
      </c>
      <c r="AG45" s="115">
        <f t="shared" si="16"/>
        <v>77.010602399999996</v>
      </c>
      <c r="AH45" s="114">
        <v>360</v>
      </c>
      <c r="AI45" s="114">
        <v>250.19688888888888</v>
      </c>
      <c r="AJ45" s="114">
        <v>855</v>
      </c>
      <c r="AK45" s="114">
        <v>2000</v>
      </c>
      <c r="AL45" s="115">
        <f t="shared" si="17"/>
        <v>427.83668</v>
      </c>
      <c r="AM45" s="115">
        <f t="shared" si="18"/>
        <v>176.86768351199999</v>
      </c>
      <c r="AN45" s="116">
        <f t="shared" si="19"/>
        <v>500393.77777777775</v>
      </c>
      <c r="AO45" s="116">
        <f t="shared" si="20"/>
        <v>90070.87999999999</v>
      </c>
      <c r="AP45" s="117">
        <f t="shared" si="21"/>
        <v>0.62</v>
      </c>
      <c r="AQ45" s="118">
        <f t="shared" si="22"/>
        <v>3.4444444444444446</v>
      </c>
      <c r="AR45" s="119" t="s">
        <v>783</v>
      </c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</row>
    <row r="46" spans="1:147" s="120" customFormat="1" ht="12.5" hidden="1">
      <c r="A46" s="62" t="s">
        <v>461</v>
      </c>
      <c r="B46" s="62" t="s">
        <v>645</v>
      </c>
      <c r="C46" s="63" t="s">
        <v>379</v>
      </c>
      <c r="D46" s="64">
        <v>1</v>
      </c>
      <c r="E46" s="65" t="s">
        <v>740</v>
      </c>
      <c r="F46" s="61"/>
      <c r="G46" s="66">
        <v>2269</v>
      </c>
      <c r="H46" s="61"/>
      <c r="I46" s="61"/>
      <c r="J46" s="60">
        <v>239</v>
      </c>
      <c r="K46" s="77" t="s">
        <v>103</v>
      </c>
      <c r="L46" s="77" t="s">
        <v>119</v>
      </c>
      <c r="M46" s="78" t="s">
        <v>574</v>
      </c>
      <c r="N46" s="77" t="s">
        <v>24</v>
      </c>
      <c r="O46" s="77" t="s">
        <v>760</v>
      </c>
      <c r="P46" s="79">
        <v>0</v>
      </c>
      <c r="Q46" s="80" t="s">
        <v>25</v>
      </c>
      <c r="R46" s="80" t="s">
        <v>759</v>
      </c>
      <c r="S46" s="78">
        <v>2030</v>
      </c>
      <c r="T46" s="81">
        <v>47664</v>
      </c>
      <c r="U46" s="82">
        <v>0.6875</v>
      </c>
      <c r="V46" s="82">
        <v>0.25</v>
      </c>
      <c r="W46" s="83">
        <f t="shared" si="12"/>
        <v>0.9375</v>
      </c>
      <c r="X46" s="82">
        <v>0.05</v>
      </c>
      <c r="Y46" s="82">
        <v>0</v>
      </c>
      <c r="Z46" s="82">
        <v>6.8000000000000005E-2</v>
      </c>
      <c r="AA46" s="84">
        <v>0.19800000000000001</v>
      </c>
      <c r="AB46" s="82">
        <v>6.25E-2</v>
      </c>
      <c r="AC46" s="85">
        <f t="shared" si="13"/>
        <v>241875</v>
      </c>
      <c r="AD46" s="81"/>
      <c r="AE46" s="86">
        <f t="shared" si="14"/>
        <v>0</v>
      </c>
      <c r="AF46" s="84">
        <f t="shared" si="15"/>
        <v>0</v>
      </c>
      <c r="AG46" s="87">
        <f t="shared" si="16"/>
        <v>39.425624999999997</v>
      </c>
      <c r="AH46" s="86">
        <v>163</v>
      </c>
      <c r="AI46" s="86">
        <v>249.87086776859505</v>
      </c>
      <c r="AJ46" s="86">
        <v>968</v>
      </c>
      <c r="AK46" s="86">
        <v>800</v>
      </c>
      <c r="AL46" s="87">
        <f t="shared" si="17"/>
        <v>193.5</v>
      </c>
      <c r="AM46" s="87">
        <f t="shared" si="18"/>
        <v>133.03125</v>
      </c>
      <c r="AN46" s="88">
        <f t="shared" si="19"/>
        <v>199896.69421487604</v>
      </c>
      <c r="AO46" s="88">
        <f t="shared" si="20"/>
        <v>40728.951446280989</v>
      </c>
      <c r="AP46" s="89">
        <f t="shared" si="21"/>
        <v>0.75</v>
      </c>
      <c r="AQ46" s="90">
        <f t="shared" si="22"/>
        <v>3.680981595092025</v>
      </c>
      <c r="AR46" s="91" t="s">
        <v>783</v>
      </c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</row>
    <row r="47" spans="1:147" s="59" customFormat="1" ht="12.5" hidden="1">
      <c r="A47" s="103" t="s">
        <v>466</v>
      </c>
      <c r="B47" s="103" t="s">
        <v>264</v>
      </c>
      <c r="C47" s="104" t="s">
        <v>376</v>
      </c>
      <c r="D47" s="33">
        <v>1</v>
      </c>
      <c r="E47" s="34" t="s">
        <v>740</v>
      </c>
      <c r="F47" s="35"/>
      <c r="G47" s="36">
        <v>2286</v>
      </c>
      <c r="H47" s="35"/>
      <c r="I47" s="35"/>
      <c r="J47" s="37">
        <v>251</v>
      </c>
      <c r="K47" s="105" t="s">
        <v>103</v>
      </c>
      <c r="L47" s="105" t="s">
        <v>124</v>
      </c>
      <c r="M47" s="106" t="s">
        <v>583</v>
      </c>
      <c r="N47" s="105" t="s">
        <v>46</v>
      </c>
      <c r="O47" s="105" t="s">
        <v>760</v>
      </c>
      <c r="P47" s="107">
        <v>0</v>
      </c>
      <c r="Q47" s="108" t="s">
        <v>25</v>
      </c>
      <c r="R47" s="108" t="s">
        <v>26</v>
      </c>
      <c r="S47" s="106">
        <v>2030</v>
      </c>
      <c r="T47" s="109">
        <v>47664</v>
      </c>
      <c r="U47" s="110">
        <v>0.45</v>
      </c>
      <c r="V47" s="110">
        <v>0.5</v>
      </c>
      <c r="W47" s="111">
        <f t="shared" si="12"/>
        <v>0.95</v>
      </c>
      <c r="X47" s="110">
        <v>0.05</v>
      </c>
      <c r="Y47" s="110">
        <v>9.0000000000000011E-2</v>
      </c>
      <c r="Z47" s="110">
        <v>6.8000000000000005E-2</v>
      </c>
      <c r="AA47" s="112">
        <v>0.19800000000000001</v>
      </c>
      <c r="AB47" s="110">
        <v>5.0000000000000044E-2</v>
      </c>
      <c r="AC47" s="113">
        <f t="shared" si="13"/>
        <v>308574.72199999995</v>
      </c>
      <c r="AD47" s="109"/>
      <c r="AE47" s="114">
        <f t="shared" si="14"/>
        <v>0</v>
      </c>
      <c r="AF47" s="112">
        <f t="shared" si="15"/>
        <v>0</v>
      </c>
      <c r="AG47" s="115">
        <f t="shared" si="16"/>
        <v>50.297679685999995</v>
      </c>
      <c r="AH47" s="114">
        <v>163</v>
      </c>
      <c r="AI47" s="114">
        <v>299.00651356589145</v>
      </c>
      <c r="AJ47" s="114">
        <v>1032</v>
      </c>
      <c r="AK47" s="114">
        <v>605</v>
      </c>
      <c r="AL47" s="115">
        <f t="shared" si="17"/>
        <v>186.68770680999998</v>
      </c>
      <c r="AM47" s="115">
        <f t="shared" si="18"/>
        <v>84.009468064499998</v>
      </c>
      <c r="AN47" s="116">
        <f t="shared" si="19"/>
        <v>180898.94070736432</v>
      </c>
      <c r="AO47" s="116">
        <f t="shared" si="20"/>
        <v>48738.061711240305</v>
      </c>
      <c r="AP47" s="117">
        <f t="shared" si="21"/>
        <v>0.5</v>
      </c>
      <c r="AQ47" s="118">
        <f t="shared" si="22"/>
        <v>1.8558282208588956</v>
      </c>
      <c r="AR47" s="119" t="s">
        <v>783</v>
      </c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</row>
    <row r="48" spans="1:147" s="120" customFormat="1" ht="12.5" hidden="1">
      <c r="A48" s="62" t="s">
        <v>475</v>
      </c>
      <c r="B48" s="62" t="s">
        <v>278</v>
      </c>
      <c r="C48" s="63" t="s">
        <v>368</v>
      </c>
      <c r="D48" s="64">
        <v>0</v>
      </c>
      <c r="E48" s="65" t="s">
        <v>740</v>
      </c>
      <c r="F48" s="61"/>
      <c r="G48" s="66">
        <v>2290</v>
      </c>
      <c r="H48" s="61"/>
      <c r="I48" s="61"/>
      <c r="J48" s="60">
        <v>265</v>
      </c>
      <c r="K48" s="77" t="s">
        <v>103</v>
      </c>
      <c r="L48" s="77" t="s">
        <v>138</v>
      </c>
      <c r="M48" s="78" t="s">
        <v>572</v>
      </c>
      <c r="N48" s="77" t="s">
        <v>24</v>
      </c>
      <c r="O48" s="77" t="s">
        <v>760</v>
      </c>
      <c r="P48" s="79">
        <v>0</v>
      </c>
      <c r="Q48" s="80" t="s">
        <v>25</v>
      </c>
      <c r="R48" s="80" t="s">
        <v>759</v>
      </c>
      <c r="S48" s="78">
        <v>2030</v>
      </c>
      <c r="T48" s="81">
        <v>47756</v>
      </c>
      <c r="U48" s="82">
        <v>0.7</v>
      </c>
      <c r="V48" s="82">
        <v>0.30000000000000004</v>
      </c>
      <c r="W48" s="97">
        <f t="shared" si="12"/>
        <v>1</v>
      </c>
      <c r="X48" s="82">
        <v>0.05</v>
      </c>
      <c r="Y48" s="82">
        <v>0</v>
      </c>
      <c r="Z48" s="82">
        <v>6.8000000000000005E-2</v>
      </c>
      <c r="AA48" s="98">
        <v>0.19800000000000001</v>
      </c>
      <c r="AB48" s="82"/>
      <c r="AC48" s="99">
        <f t="shared" si="13"/>
        <v>269699.39250743313</v>
      </c>
      <c r="AD48" s="81"/>
      <c r="AE48" s="86">
        <f t="shared" si="14"/>
        <v>0</v>
      </c>
      <c r="AF48" s="98">
        <f t="shared" si="15"/>
        <v>0</v>
      </c>
      <c r="AG48" s="86">
        <f t="shared" si="16"/>
        <v>43.961000978711603</v>
      </c>
      <c r="AH48" s="86">
        <v>163</v>
      </c>
      <c r="AI48" s="86">
        <v>269.16107036669973</v>
      </c>
      <c r="AJ48" s="86">
        <v>1002</v>
      </c>
      <c r="AK48" s="86">
        <v>600</v>
      </c>
      <c r="AL48" s="86">
        <f t="shared" si="17"/>
        <v>161.81963550445988</v>
      </c>
      <c r="AM48" s="86">
        <f t="shared" si="18"/>
        <v>113.27374485312191</v>
      </c>
      <c r="AN48" s="88">
        <f t="shared" si="19"/>
        <v>161496.64222001983</v>
      </c>
      <c r="AO48" s="100">
        <f t="shared" si="20"/>
        <v>43873.254469772059</v>
      </c>
      <c r="AP48" s="101">
        <f t="shared" si="21"/>
        <v>0.7</v>
      </c>
      <c r="AQ48" s="102">
        <f t="shared" si="22"/>
        <v>2.576687116564417</v>
      </c>
      <c r="AR48" s="91" t="s">
        <v>783</v>
      </c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</row>
    <row r="49" spans="1:147" s="59" customFormat="1" ht="12.5" hidden="1">
      <c r="A49" s="62" t="s">
        <v>499</v>
      </c>
      <c r="B49" s="62" t="s">
        <v>657</v>
      </c>
      <c r="C49" s="63" t="s">
        <v>348</v>
      </c>
      <c r="D49" s="64">
        <v>1</v>
      </c>
      <c r="E49" s="65" t="s">
        <v>740</v>
      </c>
      <c r="F49" s="61"/>
      <c r="G49" s="66">
        <v>2383</v>
      </c>
      <c r="H49" s="61"/>
      <c r="I49" s="61"/>
      <c r="J49" s="60">
        <v>315</v>
      </c>
      <c r="K49" s="77" t="s">
        <v>143</v>
      </c>
      <c r="L49" s="77" t="s">
        <v>728</v>
      </c>
      <c r="M49" s="78" t="s">
        <v>575</v>
      </c>
      <c r="N49" s="77" t="s">
        <v>587</v>
      </c>
      <c r="O49" s="77" t="s">
        <v>760</v>
      </c>
      <c r="P49" s="79">
        <v>0</v>
      </c>
      <c r="Q49" s="80" t="s">
        <v>25</v>
      </c>
      <c r="R49" s="80" t="s">
        <v>26</v>
      </c>
      <c r="S49" s="78">
        <v>2030</v>
      </c>
      <c r="T49" s="81">
        <v>47664</v>
      </c>
      <c r="U49" s="82">
        <v>0.64800000000000002</v>
      </c>
      <c r="V49" s="82">
        <v>0.18999999999999995</v>
      </c>
      <c r="W49" s="83">
        <f t="shared" si="12"/>
        <v>0.83799999999999997</v>
      </c>
      <c r="X49" s="82">
        <v>7.0000000000000007E-2</v>
      </c>
      <c r="Y49" s="82">
        <v>9.5000000000000001E-2</v>
      </c>
      <c r="Z49" s="82">
        <v>6.8000000000000005E-2</v>
      </c>
      <c r="AA49" s="84">
        <v>0.19800000000000001</v>
      </c>
      <c r="AB49" s="82">
        <v>0.16200000000000003</v>
      </c>
      <c r="AC49" s="85">
        <f t="shared" si="13"/>
        <v>166770</v>
      </c>
      <c r="AD49" s="81"/>
      <c r="AE49" s="86">
        <f t="shared" si="14"/>
        <v>0</v>
      </c>
      <c r="AF49" s="84">
        <f t="shared" si="15"/>
        <v>0</v>
      </c>
      <c r="AG49" s="87">
        <f t="shared" si="16"/>
        <v>29.184750000000005</v>
      </c>
      <c r="AH49" s="86">
        <v>175</v>
      </c>
      <c r="AI49" s="86">
        <v>160.04798464491364</v>
      </c>
      <c r="AJ49" s="86">
        <v>1042</v>
      </c>
      <c r="AK49" s="86">
        <v>550</v>
      </c>
      <c r="AL49" s="87">
        <f t="shared" si="17"/>
        <v>91.723500000000001</v>
      </c>
      <c r="AM49" s="87">
        <f t="shared" si="18"/>
        <v>59.436828000000006</v>
      </c>
      <c r="AN49" s="88">
        <f t="shared" si="19"/>
        <v>88026.391554702495</v>
      </c>
      <c r="AO49" s="88">
        <f t="shared" si="20"/>
        <v>28008.397312859888</v>
      </c>
      <c r="AP49" s="89">
        <f t="shared" si="21"/>
        <v>0.81</v>
      </c>
      <c r="AQ49" s="90">
        <f t="shared" si="22"/>
        <v>2.5457142857142854</v>
      </c>
      <c r="AR49" s="91" t="s">
        <v>783</v>
      </c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</row>
    <row r="50" spans="1:147" s="120" customFormat="1" ht="12.5" hidden="1">
      <c r="A50" s="62" t="s">
        <v>480</v>
      </c>
      <c r="B50" s="62" t="s">
        <v>663</v>
      </c>
      <c r="C50" s="63" t="s">
        <v>363</v>
      </c>
      <c r="D50" s="64">
        <v>1</v>
      </c>
      <c r="E50" s="65" t="s">
        <v>740</v>
      </c>
      <c r="F50" s="61"/>
      <c r="G50" s="66">
        <v>2377</v>
      </c>
      <c r="H50" s="61"/>
      <c r="I50" s="61"/>
      <c r="J50" s="60">
        <v>277</v>
      </c>
      <c r="K50" s="77" t="s">
        <v>143</v>
      </c>
      <c r="L50" s="77" t="s">
        <v>145</v>
      </c>
      <c r="M50" s="78" t="s">
        <v>575</v>
      </c>
      <c r="N50" s="77" t="s">
        <v>597</v>
      </c>
      <c r="O50" s="77" t="s">
        <v>760</v>
      </c>
      <c r="P50" s="79">
        <v>0</v>
      </c>
      <c r="Q50" s="80" t="s">
        <v>25</v>
      </c>
      <c r="R50" s="80" t="s">
        <v>759</v>
      </c>
      <c r="S50" s="78">
        <v>2030</v>
      </c>
      <c r="T50" s="81">
        <v>47848</v>
      </c>
      <c r="U50" s="82">
        <v>0.56000000000000005</v>
      </c>
      <c r="V50" s="82">
        <v>0.29999999999999993</v>
      </c>
      <c r="W50" s="83">
        <f t="shared" si="12"/>
        <v>0.86</v>
      </c>
      <c r="X50" s="82">
        <v>7.0000000000000007E-2</v>
      </c>
      <c r="Y50" s="82">
        <v>9.5000000000000001E-2</v>
      </c>
      <c r="Z50" s="82">
        <v>6.8000000000000005E-2</v>
      </c>
      <c r="AA50" s="84">
        <v>0.19800000000000001</v>
      </c>
      <c r="AB50" s="82">
        <v>0.14000000000000001</v>
      </c>
      <c r="AC50" s="85">
        <f t="shared" si="13"/>
        <v>188921.595</v>
      </c>
      <c r="AD50" s="81"/>
      <c r="AE50" s="86">
        <f t="shared" si="14"/>
        <v>0</v>
      </c>
      <c r="AF50" s="84">
        <f t="shared" si="15"/>
        <v>0</v>
      </c>
      <c r="AG50" s="87">
        <f t="shared" si="16"/>
        <v>33.061279125000006</v>
      </c>
      <c r="AH50" s="86">
        <v>175</v>
      </c>
      <c r="AI50" s="86">
        <v>203.14150000000001</v>
      </c>
      <c r="AJ50" s="86">
        <v>930</v>
      </c>
      <c r="AK50" s="86">
        <v>650</v>
      </c>
      <c r="AL50" s="87">
        <f t="shared" si="17"/>
        <v>122.79903675</v>
      </c>
      <c r="AM50" s="87">
        <f t="shared" si="18"/>
        <v>68.767460580000005</v>
      </c>
      <c r="AN50" s="88">
        <f t="shared" si="19"/>
        <v>132041.97500000001</v>
      </c>
      <c r="AO50" s="88">
        <f t="shared" si="20"/>
        <v>35549.762500000004</v>
      </c>
      <c r="AP50" s="89">
        <f t="shared" si="21"/>
        <v>0.70000000000000007</v>
      </c>
      <c r="AQ50" s="90">
        <f t="shared" si="22"/>
        <v>2.6</v>
      </c>
      <c r="AR50" s="91" t="s">
        <v>783</v>
      </c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</row>
    <row r="51" spans="1:147" s="59" customFormat="1" ht="12.5" hidden="1">
      <c r="A51" s="62" t="s">
        <v>483</v>
      </c>
      <c r="B51" s="62" t="s">
        <v>668</v>
      </c>
      <c r="C51" s="63" t="s">
        <v>362</v>
      </c>
      <c r="D51" s="64">
        <v>1</v>
      </c>
      <c r="E51" s="65" t="s">
        <v>740</v>
      </c>
      <c r="F51" s="61"/>
      <c r="G51" s="66">
        <v>2381</v>
      </c>
      <c r="H51" s="61"/>
      <c r="I51" s="61"/>
      <c r="J51" s="60">
        <v>285</v>
      </c>
      <c r="K51" s="77" t="s">
        <v>143</v>
      </c>
      <c r="L51" s="77" t="s">
        <v>146</v>
      </c>
      <c r="M51" s="78" t="s">
        <v>575</v>
      </c>
      <c r="N51" s="77" t="s">
        <v>602</v>
      </c>
      <c r="O51" s="77" t="s">
        <v>760</v>
      </c>
      <c r="P51" s="79">
        <v>0</v>
      </c>
      <c r="Q51" s="80" t="s">
        <v>25</v>
      </c>
      <c r="R51" s="80" t="s">
        <v>26</v>
      </c>
      <c r="S51" s="78">
        <v>2030</v>
      </c>
      <c r="T51" s="81">
        <v>47848</v>
      </c>
      <c r="U51" s="82">
        <v>0.43409999999999999</v>
      </c>
      <c r="V51" s="82">
        <v>0.29899999999999999</v>
      </c>
      <c r="W51" s="83">
        <f t="shared" si="12"/>
        <v>0.73309999999999997</v>
      </c>
      <c r="X51" s="82">
        <v>7.0000000000000007E-2</v>
      </c>
      <c r="Y51" s="82">
        <v>0.06</v>
      </c>
      <c r="Z51" s="82">
        <v>6.8000000000000005E-2</v>
      </c>
      <c r="AA51" s="84">
        <v>0.19800000000000001</v>
      </c>
      <c r="AB51" s="82">
        <v>0.26690000000000003</v>
      </c>
      <c r="AC51" s="85">
        <f t="shared" si="13"/>
        <v>168000</v>
      </c>
      <c r="AD51" s="81"/>
      <c r="AE51" s="86">
        <f t="shared" si="14"/>
        <v>0</v>
      </c>
      <c r="AF51" s="84">
        <f t="shared" si="15"/>
        <v>0</v>
      </c>
      <c r="AG51" s="87">
        <f t="shared" si="16"/>
        <v>29.4</v>
      </c>
      <c r="AH51" s="86">
        <v>175</v>
      </c>
      <c r="AI51" s="86">
        <v>200</v>
      </c>
      <c r="AJ51" s="86">
        <v>840</v>
      </c>
      <c r="AK51" s="86">
        <v>700</v>
      </c>
      <c r="AL51" s="87">
        <f t="shared" si="17"/>
        <v>117.6</v>
      </c>
      <c r="AM51" s="87">
        <f t="shared" si="18"/>
        <v>51.050159999999998</v>
      </c>
      <c r="AN51" s="88">
        <f t="shared" si="19"/>
        <v>140000</v>
      </c>
      <c r="AO51" s="88">
        <f t="shared" si="20"/>
        <v>35000</v>
      </c>
      <c r="AP51" s="89">
        <f t="shared" si="21"/>
        <v>0.70100000000000007</v>
      </c>
      <c r="AQ51" s="90">
        <f t="shared" si="22"/>
        <v>2.8040000000000003</v>
      </c>
      <c r="AR51" s="91" t="s">
        <v>783</v>
      </c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</row>
    <row r="52" spans="1:147" s="120" customFormat="1" ht="12.5" hidden="1">
      <c r="A52" s="62" t="s">
        <v>483</v>
      </c>
      <c r="B52" s="62" t="s">
        <v>669</v>
      </c>
      <c r="C52" s="63" t="s">
        <v>362</v>
      </c>
      <c r="D52" s="64">
        <v>1</v>
      </c>
      <c r="E52" s="65" t="s">
        <v>740</v>
      </c>
      <c r="F52" s="61"/>
      <c r="G52" s="66">
        <v>2381</v>
      </c>
      <c r="H52" s="61"/>
      <c r="I52" s="61"/>
      <c r="J52" s="60">
        <v>287</v>
      </c>
      <c r="K52" s="77" t="s">
        <v>143</v>
      </c>
      <c r="L52" s="77" t="s">
        <v>146</v>
      </c>
      <c r="M52" s="78" t="s">
        <v>575</v>
      </c>
      <c r="N52" s="77" t="s">
        <v>608</v>
      </c>
      <c r="O52" s="77" t="s">
        <v>760</v>
      </c>
      <c r="P52" s="79">
        <v>0</v>
      </c>
      <c r="Q52" s="80" t="s">
        <v>73</v>
      </c>
      <c r="R52" s="80" t="s">
        <v>26</v>
      </c>
      <c r="S52" s="78">
        <v>2030</v>
      </c>
      <c r="T52" s="81">
        <v>47848</v>
      </c>
      <c r="U52" s="82">
        <v>0.8</v>
      </c>
      <c r="V52" s="82"/>
      <c r="W52" s="83">
        <f t="shared" si="12"/>
        <v>0.8</v>
      </c>
      <c r="X52" s="82"/>
      <c r="Y52" s="82"/>
      <c r="Z52" s="82"/>
      <c r="AA52" s="84">
        <v>0.19800000000000001</v>
      </c>
      <c r="AB52" s="82">
        <v>0.19999999999999996</v>
      </c>
      <c r="AC52" s="85">
        <f t="shared" si="13"/>
        <v>120000</v>
      </c>
      <c r="AD52" s="81"/>
      <c r="AE52" s="86">
        <f t="shared" si="14"/>
        <v>0</v>
      </c>
      <c r="AF52" s="84">
        <f t="shared" si="15"/>
        <v>0</v>
      </c>
      <c r="AG52" s="87">
        <f t="shared" si="16"/>
        <v>42</v>
      </c>
      <c r="AH52" s="86">
        <v>350</v>
      </c>
      <c r="AI52" s="86">
        <v>180.45112781954887</v>
      </c>
      <c r="AJ52" s="86">
        <v>665</v>
      </c>
      <c r="AK52" s="86">
        <v>700</v>
      </c>
      <c r="AL52" s="87">
        <f t="shared" si="17"/>
        <v>84</v>
      </c>
      <c r="AM52" s="87">
        <f t="shared" si="18"/>
        <v>67.2</v>
      </c>
      <c r="AN52" s="88">
        <f t="shared" si="19"/>
        <v>126315.78947368421</v>
      </c>
      <c r="AO52" s="88">
        <f t="shared" si="20"/>
        <v>63157.894736842107</v>
      </c>
      <c r="AP52" s="89">
        <f t="shared" si="21"/>
        <v>1</v>
      </c>
      <c r="AQ52" s="90">
        <f t="shared" si="22"/>
        <v>2</v>
      </c>
      <c r="AR52" s="91" t="s">
        <v>783</v>
      </c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</row>
    <row r="53" spans="1:147" s="59" customFormat="1" ht="12.5" hidden="1">
      <c r="A53" s="103" t="s">
        <v>492</v>
      </c>
      <c r="B53" s="103" t="s">
        <v>683</v>
      </c>
      <c r="C53" s="104" t="s">
        <v>358</v>
      </c>
      <c r="D53" s="33">
        <v>1</v>
      </c>
      <c r="E53" s="34" t="s">
        <v>740</v>
      </c>
      <c r="F53" s="35"/>
      <c r="G53" s="36">
        <v>2376</v>
      </c>
      <c r="H53" s="35"/>
      <c r="I53" s="35"/>
      <c r="J53" s="37">
        <v>304</v>
      </c>
      <c r="K53" s="105" t="s">
        <v>143</v>
      </c>
      <c r="L53" s="105" t="s">
        <v>149</v>
      </c>
      <c r="M53" s="106" t="s">
        <v>575</v>
      </c>
      <c r="N53" s="105" t="s">
        <v>610</v>
      </c>
      <c r="O53" s="105" t="s">
        <v>760</v>
      </c>
      <c r="P53" s="107">
        <v>0</v>
      </c>
      <c r="Q53" s="108" t="s">
        <v>25</v>
      </c>
      <c r="R53" s="108" t="s">
        <v>26</v>
      </c>
      <c r="S53" s="106">
        <v>2030</v>
      </c>
      <c r="T53" s="109">
        <v>47848</v>
      </c>
      <c r="U53" s="110">
        <v>0.47199999999999998</v>
      </c>
      <c r="V53" s="110">
        <v>0.41000000000000003</v>
      </c>
      <c r="W53" s="111">
        <f t="shared" si="12"/>
        <v>0.88200000000000001</v>
      </c>
      <c r="X53" s="110">
        <v>7.0000000000000007E-2</v>
      </c>
      <c r="Y53" s="110">
        <v>9.5000000000000001E-2</v>
      </c>
      <c r="Z53" s="110">
        <v>6.8000000000000005E-2</v>
      </c>
      <c r="AA53" s="112">
        <v>0.19800000000000001</v>
      </c>
      <c r="AB53" s="110">
        <v>0.11799999999999999</v>
      </c>
      <c r="AC53" s="113">
        <f t="shared" si="13"/>
        <v>82440</v>
      </c>
      <c r="AD53" s="109"/>
      <c r="AE53" s="114">
        <f t="shared" si="14"/>
        <v>0</v>
      </c>
      <c r="AF53" s="112">
        <f t="shared" si="15"/>
        <v>0</v>
      </c>
      <c r="AG53" s="115">
        <f t="shared" si="16"/>
        <v>14.427</v>
      </c>
      <c r="AH53" s="114">
        <v>175</v>
      </c>
      <c r="AI53" s="114">
        <v>360</v>
      </c>
      <c r="AJ53" s="114">
        <v>229</v>
      </c>
      <c r="AK53" s="114">
        <v>1000</v>
      </c>
      <c r="AL53" s="115">
        <f t="shared" si="17"/>
        <v>82.44</v>
      </c>
      <c r="AM53" s="115">
        <f t="shared" si="18"/>
        <v>38.911679999999997</v>
      </c>
      <c r="AN53" s="116">
        <f t="shared" si="19"/>
        <v>360000</v>
      </c>
      <c r="AO53" s="116">
        <f t="shared" si="20"/>
        <v>63000</v>
      </c>
      <c r="AP53" s="117">
        <f t="shared" si="21"/>
        <v>0.59</v>
      </c>
      <c r="AQ53" s="118">
        <f t="shared" si="22"/>
        <v>3.371428571428571</v>
      </c>
      <c r="AR53" s="119" t="s">
        <v>783</v>
      </c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</row>
    <row r="54" spans="1:147" s="120" customFormat="1" ht="12.5" hidden="1">
      <c r="A54" s="103" t="s">
        <v>501</v>
      </c>
      <c r="B54" s="103" t="s">
        <v>695</v>
      </c>
      <c r="C54" s="104" t="s">
        <v>347</v>
      </c>
      <c r="D54" s="33">
        <v>1</v>
      </c>
      <c r="E54" s="34" t="s">
        <v>739</v>
      </c>
      <c r="F54" s="35"/>
      <c r="G54" s="36">
        <v>2391</v>
      </c>
      <c r="H54" s="35"/>
      <c r="I54" s="35"/>
      <c r="J54" s="37">
        <v>318</v>
      </c>
      <c r="K54" s="105" t="s">
        <v>143</v>
      </c>
      <c r="L54" s="105" t="s">
        <v>154</v>
      </c>
      <c r="M54" s="106" t="s">
        <v>568</v>
      </c>
      <c r="N54" s="105" t="s">
        <v>590</v>
      </c>
      <c r="O54" s="105" t="s">
        <v>760</v>
      </c>
      <c r="P54" s="107">
        <v>0</v>
      </c>
      <c r="Q54" s="108" t="s">
        <v>25</v>
      </c>
      <c r="R54" s="108" t="s">
        <v>26</v>
      </c>
      <c r="S54" s="106">
        <v>2030</v>
      </c>
      <c r="T54" s="109">
        <v>47756</v>
      </c>
      <c r="U54" s="110">
        <v>0.6</v>
      </c>
      <c r="V54" s="110">
        <v>0.25</v>
      </c>
      <c r="W54" s="111">
        <f t="shared" si="12"/>
        <v>0.85</v>
      </c>
      <c r="X54" s="110">
        <v>7.0000000000000007E-2</v>
      </c>
      <c r="Y54" s="110">
        <v>7.0000000000000007E-2</v>
      </c>
      <c r="Z54" s="110">
        <v>6.8000000000000005E-2</v>
      </c>
      <c r="AA54" s="112">
        <v>0.19800000000000001</v>
      </c>
      <c r="AB54" s="110">
        <v>0.15000000000000002</v>
      </c>
      <c r="AC54" s="113">
        <f t="shared" si="13"/>
        <v>283242.12288786483</v>
      </c>
      <c r="AD54" s="109"/>
      <c r="AE54" s="114">
        <f t="shared" si="14"/>
        <v>0</v>
      </c>
      <c r="AF54" s="112">
        <f t="shared" si="15"/>
        <v>0</v>
      </c>
      <c r="AG54" s="115">
        <f t="shared" si="16"/>
        <v>49.567371505376343</v>
      </c>
      <c r="AH54" s="114">
        <v>175</v>
      </c>
      <c r="AI54" s="114">
        <v>224.97388632872503</v>
      </c>
      <c r="AJ54" s="114">
        <v>1259</v>
      </c>
      <c r="AK54" s="114">
        <v>550</v>
      </c>
      <c r="AL54" s="115">
        <f t="shared" si="17"/>
        <v>155.78316758832565</v>
      </c>
      <c r="AM54" s="115">
        <f t="shared" si="18"/>
        <v>93.469900552995384</v>
      </c>
      <c r="AN54" s="116">
        <f t="shared" si="19"/>
        <v>123735.63748079876</v>
      </c>
      <c r="AO54" s="116">
        <f t="shared" si="20"/>
        <v>39370.430107526881</v>
      </c>
      <c r="AP54" s="117">
        <f t="shared" si="21"/>
        <v>0.75</v>
      </c>
      <c r="AQ54" s="118">
        <f t="shared" si="22"/>
        <v>2.3571428571428572</v>
      </c>
      <c r="AR54" s="119" t="s">
        <v>783</v>
      </c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</row>
    <row r="55" spans="1:147" s="59" customFormat="1" ht="13" hidden="1">
      <c r="A55" s="103" t="s">
        <v>428</v>
      </c>
      <c r="B55" s="103" t="s">
        <v>208</v>
      </c>
      <c r="C55" s="104" t="s">
        <v>327</v>
      </c>
      <c r="D55" s="33">
        <v>1</v>
      </c>
      <c r="E55" s="34" t="s">
        <v>740</v>
      </c>
      <c r="F55" s="35"/>
      <c r="G55" s="36" t="s">
        <v>753</v>
      </c>
      <c r="H55" s="35"/>
      <c r="I55" s="35"/>
      <c r="J55" s="37">
        <v>164</v>
      </c>
      <c r="K55" s="105" t="s">
        <v>53</v>
      </c>
      <c r="L55" s="105" t="s">
        <v>54</v>
      </c>
      <c r="M55" s="106" t="s">
        <v>568</v>
      </c>
      <c r="N55" s="121" t="s">
        <v>58</v>
      </c>
      <c r="O55" s="105" t="s">
        <v>756</v>
      </c>
      <c r="P55" s="107">
        <v>2781250</v>
      </c>
      <c r="Q55" s="108" t="s">
        <v>25</v>
      </c>
      <c r="R55" s="108" t="s">
        <v>26</v>
      </c>
      <c r="S55" s="106">
        <v>2030</v>
      </c>
      <c r="T55" s="109">
        <v>47848</v>
      </c>
      <c r="U55" s="110">
        <v>0.36959999999999998</v>
      </c>
      <c r="V55" s="110"/>
      <c r="W55" s="111">
        <f t="shared" si="12"/>
        <v>0.36959999999999998</v>
      </c>
      <c r="X55" s="110"/>
      <c r="Y55" s="110"/>
      <c r="Z55" s="110"/>
      <c r="AA55" s="112">
        <v>0.19800000000000001</v>
      </c>
      <c r="AB55" s="110">
        <v>0.63040000000000007</v>
      </c>
      <c r="AC55" s="113">
        <f t="shared" si="13"/>
        <v>202400</v>
      </c>
      <c r="AD55" s="109"/>
      <c r="AE55" s="114">
        <f t="shared" si="14"/>
        <v>2.78125</v>
      </c>
      <c r="AF55" s="112">
        <f t="shared" si="15"/>
        <v>2.5927082556491909E-2</v>
      </c>
      <c r="AG55" s="115">
        <f t="shared" si="16"/>
        <v>25.9072</v>
      </c>
      <c r="AH55" s="114">
        <v>128</v>
      </c>
      <c r="AI55" s="114">
        <v>275</v>
      </c>
      <c r="AJ55" s="114">
        <v>736</v>
      </c>
      <c r="AK55" s="114">
        <v>530</v>
      </c>
      <c r="AL55" s="115">
        <f t="shared" si="17"/>
        <v>107.27200000000001</v>
      </c>
      <c r="AM55" s="115">
        <f t="shared" si="18"/>
        <v>39.647731200000003</v>
      </c>
      <c r="AN55" s="116">
        <f t="shared" si="19"/>
        <v>145750</v>
      </c>
      <c r="AO55" s="116">
        <f t="shared" si="20"/>
        <v>35200</v>
      </c>
      <c r="AP55" s="117">
        <f t="shared" si="21"/>
        <v>1</v>
      </c>
      <c r="AQ55" s="118">
        <f t="shared" si="22"/>
        <v>3.7392051505048203</v>
      </c>
      <c r="AR55" s="119" t="s">
        <v>783</v>
      </c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</row>
    <row r="56" spans="1:147" s="120" customFormat="1" ht="12.5" hidden="1">
      <c r="A56" s="103" t="s">
        <v>429</v>
      </c>
      <c r="B56" s="103" t="s">
        <v>223</v>
      </c>
      <c r="C56" s="104" t="s">
        <v>328</v>
      </c>
      <c r="D56" s="33">
        <v>1</v>
      </c>
      <c r="E56" s="34" t="s">
        <v>740</v>
      </c>
      <c r="F56" s="35"/>
      <c r="G56" s="36" t="s">
        <v>753</v>
      </c>
      <c r="H56" s="35"/>
      <c r="I56" s="35"/>
      <c r="J56" s="37">
        <v>182</v>
      </c>
      <c r="K56" s="105" t="s">
        <v>53</v>
      </c>
      <c r="L56" s="105" t="s">
        <v>54</v>
      </c>
      <c r="M56" s="106" t="s">
        <v>568</v>
      </c>
      <c r="N56" s="105" t="s">
        <v>796</v>
      </c>
      <c r="O56" s="105" t="s">
        <v>760</v>
      </c>
      <c r="P56" s="107">
        <v>0</v>
      </c>
      <c r="Q56" s="108" t="s">
        <v>73</v>
      </c>
      <c r="R56" s="108" t="s">
        <v>26</v>
      </c>
      <c r="S56" s="106">
        <v>2030</v>
      </c>
      <c r="T56" s="109">
        <v>47848</v>
      </c>
      <c r="U56" s="110">
        <v>0.442</v>
      </c>
      <c r="V56" s="110">
        <v>0.35</v>
      </c>
      <c r="W56" s="111">
        <f t="shared" si="12"/>
        <v>0.79200000000000004</v>
      </c>
      <c r="X56" s="110">
        <v>0.05</v>
      </c>
      <c r="Y56" s="110">
        <v>7.0000000000000007E-2</v>
      </c>
      <c r="Z56" s="110">
        <v>6.8000000000000005E-2</v>
      </c>
      <c r="AA56" s="112">
        <v>0.19800000000000001</v>
      </c>
      <c r="AB56" s="110">
        <v>0.20799999999999996</v>
      </c>
      <c r="AC56" s="113">
        <f t="shared" si="13"/>
        <v>178172.5</v>
      </c>
      <c r="AD56" s="109"/>
      <c r="AE56" s="114">
        <f t="shared" si="14"/>
        <v>0</v>
      </c>
      <c r="AF56" s="112">
        <f t="shared" si="15"/>
        <v>0</v>
      </c>
      <c r="AG56" s="115">
        <f t="shared" si="16"/>
        <v>46.324849999999998</v>
      </c>
      <c r="AH56" s="114">
        <v>260</v>
      </c>
      <c r="AI56" s="114">
        <v>350</v>
      </c>
      <c r="AJ56" s="114">
        <v>509.06428571428569</v>
      </c>
      <c r="AK56" s="114">
        <v>1250</v>
      </c>
      <c r="AL56" s="115">
        <f t="shared" si="17"/>
        <v>222.71562499999999</v>
      </c>
      <c r="AM56" s="115">
        <f t="shared" si="18"/>
        <v>98.440306249999992</v>
      </c>
      <c r="AN56" s="116">
        <f t="shared" si="19"/>
        <v>437500</v>
      </c>
      <c r="AO56" s="116">
        <f t="shared" si="20"/>
        <v>91000</v>
      </c>
      <c r="AP56" s="117">
        <f t="shared" si="21"/>
        <v>0.64999999999999991</v>
      </c>
      <c r="AQ56" s="118">
        <f t="shared" si="22"/>
        <v>3.1249999999999991</v>
      </c>
      <c r="AR56" s="119" t="s">
        <v>783</v>
      </c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</row>
    <row r="57" spans="1:147" s="120" customFormat="1" ht="12.5" hidden="1">
      <c r="A57" s="62" t="s">
        <v>452</v>
      </c>
      <c r="B57" s="62" t="s">
        <v>251</v>
      </c>
      <c r="C57" s="63" t="s">
        <v>385</v>
      </c>
      <c r="D57" s="64">
        <v>1</v>
      </c>
      <c r="E57" s="65" t="s">
        <v>740</v>
      </c>
      <c r="F57" s="61"/>
      <c r="G57" s="66">
        <v>2284</v>
      </c>
      <c r="H57" s="61"/>
      <c r="I57" s="61"/>
      <c r="J57" s="60">
        <v>220</v>
      </c>
      <c r="K57" s="77" t="s">
        <v>103</v>
      </c>
      <c r="L57" s="77" t="s">
        <v>107</v>
      </c>
      <c r="M57" s="78" t="s">
        <v>573</v>
      </c>
      <c r="N57" s="77" t="s">
        <v>110</v>
      </c>
      <c r="O57" s="77" t="s">
        <v>760</v>
      </c>
      <c r="P57" s="79">
        <v>0</v>
      </c>
      <c r="Q57" s="80" t="s">
        <v>25</v>
      </c>
      <c r="R57" s="80" t="s">
        <v>26</v>
      </c>
      <c r="S57" s="78">
        <v>2031</v>
      </c>
      <c r="T57" s="81">
        <v>48029</v>
      </c>
      <c r="U57" s="82">
        <v>0.50418499999999999</v>
      </c>
      <c r="V57" s="82">
        <v>0.44999999999999996</v>
      </c>
      <c r="W57" s="83">
        <f t="shared" si="12"/>
        <v>0.95418499999999995</v>
      </c>
      <c r="X57" s="82">
        <v>0.05</v>
      </c>
      <c r="Y57" s="82">
        <v>9.0000000000000011E-2</v>
      </c>
      <c r="Z57" s="82">
        <v>6.8000000000000005E-2</v>
      </c>
      <c r="AA57" s="84">
        <v>0.19800000000000001</v>
      </c>
      <c r="AB57" s="82">
        <v>4.581500000000005E-2</v>
      </c>
      <c r="AC57" s="85">
        <f t="shared" si="13"/>
        <v>202882</v>
      </c>
      <c r="AD57" s="81"/>
      <c r="AE57" s="86">
        <f t="shared" si="14"/>
        <v>0</v>
      </c>
      <c r="AF57" s="84">
        <f t="shared" si="15"/>
        <v>0</v>
      </c>
      <c r="AG57" s="87">
        <f t="shared" si="16"/>
        <v>34.489939999999997</v>
      </c>
      <c r="AH57" s="86">
        <v>170</v>
      </c>
      <c r="AI57" s="86">
        <v>361</v>
      </c>
      <c r="AJ57" s="86">
        <v>562</v>
      </c>
      <c r="AK57" s="86">
        <v>650</v>
      </c>
      <c r="AL57" s="87">
        <f t="shared" si="17"/>
        <v>131.8733</v>
      </c>
      <c r="AM57" s="87">
        <f t="shared" si="18"/>
        <v>66.488539760500004</v>
      </c>
      <c r="AN57" s="88">
        <f t="shared" si="19"/>
        <v>234650</v>
      </c>
      <c r="AO57" s="88">
        <f t="shared" si="20"/>
        <v>61370</v>
      </c>
      <c r="AP57" s="89">
        <f t="shared" si="21"/>
        <v>0.55000000000000004</v>
      </c>
      <c r="AQ57" s="90">
        <f t="shared" si="22"/>
        <v>2.1029411764705883</v>
      </c>
      <c r="AR57" s="91" t="s">
        <v>783</v>
      </c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</row>
    <row r="58" spans="1:147" s="59" customFormat="1" ht="12.5" hidden="1">
      <c r="A58" s="62" t="s">
        <v>456</v>
      </c>
      <c r="B58" s="62" t="s">
        <v>642</v>
      </c>
      <c r="C58" s="63" t="s">
        <v>382</v>
      </c>
      <c r="D58" s="64">
        <v>1</v>
      </c>
      <c r="E58" s="65" t="s">
        <v>740</v>
      </c>
      <c r="F58" s="61"/>
      <c r="G58" s="66">
        <v>2278</v>
      </c>
      <c r="H58" s="61"/>
      <c r="I58" s="61"/>
      <c r="J58" s="60">
        <v>229</v>
      </c>
      <c r="K58" s="77" t="s">
        <v>103</v>
      </c>
      <c r="L58" s="77" t="s">
        <v>582</v>
      </c>
      <c r="M58" s="78" t="s">
        <v>574</v>
      </c>
      <c r="N58" s="77" t="s">
        <v>46</v>
      </c>
      <c r="O58" s="77" t="s">
        <v>760</v>
      </c>
      <c r="P58" s="79">
        <v>0</v>
      </c>
      <c r="Q58" s="80" t="s">
        <v>25</v>
      </c>
      <c r="R58" s="80" t="s">
        <v>26</v>
      </c>
      <c r="S58" s="78">
        <v>2031</v>
      </c>
      <c r="T58" s="81">
        <v>48213</v>
      </c>
      <c r="U58" s="82">
        <v>0.59585500000000002</v>
      </c>
      <c r="V58" s="82">
        <v>0.35</v>
      </c>
      <c r="W58" s="83">
        <f t="shared" si="12"/>
        <v>0.945855</v>
      </c>
      <c r="X58" s="82">
        <v>0.05</v>
      </c>
      <c r="Y58" s="82">
        <v>9.0000000000000011E-2</v>
      </c>
      <c r="Z58" s="82">
        <v>6.8000000000000005E-2</v>
      </c>
      <c r="AA58" s="84">
        <v>0.19800000000000001</v>
      </c>
      <c r="AB58" s="82">
        <v>5.4144999999999999E-2</v>
      </c>
      <c r="AC58" s="85">
        <f t="shared" si="13"/>
        <v>220800</v>
      </c>
      <c r="AD58" s="81"/>
      <c r="AE58" s="86">
        <f t="shared" si="14"/>
        <v>0</v>
      </c>
      <c r="AF58" s="84">
        <f t="shared" si="15"/>
        <v>0</v>
      </c>
      <c r="AG58" s="87">
        <f t="shared" si="16"/>
        <v>35.990400000000001</v>
      </c>
      <c r="AH58" s="86">
        <v>163</v>
      </c>
      <c r="AI58" s="86">
        <v>276</v>
      </c>
      <c r="AJ58" s="86">
        <v>800</v>
      </c>
      <c r="AK58" s="86">
        <v>650</v>
      </c>
      <c r="AL58" s="87">
        <f t="shared" si="17"/>
        <v>143.52000000000001</v>
      </c>
      <c r="AM58" s="87">
        <f t="shared" si="18"/>
        <v>85.517109600000012</v>
      </c>
      <c r="AN58" s="88">
        <f t="shared" si="19"/>
        <v>179400</v>
      </c>
      <c r="AO58" s="88">
        <f t="shared" si="20"/>
        <v>44988</v>
      </c>
      <c r="AP58" s="89">
        <f t="shared" si="21"/>
        <v>0.65</v>
      </c>
      <c r="AQ58" s="90">
        <f t="shared" si="22"/>
        <v>2.592024539877301</v>
      </c>
      <c r="AR58" s="91" t="s">
        <v>783</v>
      </c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</row>
    <row r="59" spans="1:147" s="120" customFormat="1" ht="12.5" hidden="1">
      <c r="A59" s="62" t="s">
        <v>471</v>
      </c>
      <c r="B59" s="62" t="s">
        <v>273</v>
      </c>
      <c r="C59" s="63" t="s">
        <v>372</v>
      </c>
      <c r="D59" s="64">
        <v>1</v>
      </c>
      <c r="E59" s="65" t="s">
        <v>740</v>
      </c>
      <c r="F59" s="61"/>
      <c r="G59" s="66">
        <v>2281</v>
      </c>
      <c r="H59" s="61"/>
      <c r="I59" s="61"/>
      <c r="J59" s="60">
        <v>260</v>
      </c>
      <c r="K59" s="77" t="s">
        <v>103</v>
      </c>
      <c r="L59" s="77" t="s">
        <v>125</v>
      </c>
      <c r="M59" s="78" t="s">
        <v>583</v>
      </c>
      <c r="N59" s="77" t="s">
        <v>131</v>
      </c>
      <c r="O59" s="77" t="s">
        <v>760</v>
      </c>
      <c r="P59" s="79">
        <v>0</v>
      </c>
      <c r="Q59" s="80" t="s">
        <v>25</v>
      </c>
      <c r="R59" s="80" t="s">
        <v>26</v>
      </c>
      <c r="S59" s="78">
        <v>2031</v>
      </c>
      <c r="T59" s="81">
        <v>48121</v>
      </c>
      <c r="U59" s="82">
        <v>0.65085700000000002</v>
      </c>
      <c r="V59" s="82">
        <v>0.29000000000000004</v>
      </c>
      <c r="W59" s="83">
        <f t="shared" si="12"/>
        <v>0.94085700000000005</v>
      </c>
      <c r="X59" s="82">
        <v>0.05</v>
      </c>
      <c r="Y59" s="82">
        <v>9.0000000000000011E-2</v>
      </c>
      <c r="Z59" s="82">
        <v>6.8000000000000005E-2</v>
      </c>
      <c r="AA59" s="84">
        <v>0.19800000000000001</v>
      </c>
      <c r="AB59" s="82">
        <v>5.9142999999999946E-2</v>
      </c>
      <c r="AC59" s="85">
        <f t="shared" si="13"/>
        <v>153158.75</v>
      </c>
      <c r="AD59" s="81"/>
      <c r="AE59" s="86">
        <f t="shared" si="14"/>
        <v>0</v>
      </c>
      <c r="AF59" s="84">
        <f t="shared" si="15"/>
        <v>0</v>
      </c>
      <c r="AG59" s="87">
        <f t="shared" si="16"/>
        <v>24.964876249999996</v>
      </c>
      <c r="AH59" s="86">
        <v>163</v>
      </c>
      <c r="AI59" s="86">
        <v>160.04049111807731</v>
      </c>
      <c r="AJ59" s="86">
        <v>957</v>
      </c>
      <c r="AK59" s="86">
        <v>600</v>
      </c>
      <c r="AL59" s="87">
        <f t="shared" si="17"/>
        <v>91.895250000000004</v>
      </c>
      <c r="AM59" s="87">
        <f t="shared" si="18"/>
        <v>59.810666729250002</v>
      </c>
      <c r="AN59" s="88">
        <f t="shared" si="19"/>
        <v>96024.294670846386</v>
      </c>
      <c r="AO59" s="88">
        <f t="shared" si="20"/>
        <v>26086.600052246602</v>
      </c>
      <c r="AP59" s="89">
        <f t="shared" si="21"/>
        <v>0.71</v>
      </c>
      <c r="AQ59" s="90">
        <f t="shared" si="22"/>
        <v>2.6134969325153379</v>
      </c>
      <c r="AR59" s="91" t="s">
        <v>783</v>
      </c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</row>
    <row r="60" spans="1:147" s="59" customFormat="1" ht="12.5" hidden="1">
      <c r="A60" s="62" t="s">
        <v>476</v>
      </c>
      <c r="B60" s="62" t="s">
        <v>656</v>
      </c>
      <c r="C60" s="63" t="s">
        <v>367</v>
      </c>
      <c r="D60" s="64">
        <v>1</v>
      </c>
      <c r="E60" s="65" t="s">
        <v>739</v>
      </c>
      <c r="F60" s="61"/>
      <c r="G60" s="66">
        <v>2656</v>
      </c>
      <c r="H60" s="61"/>
      <c r="I60" s="61"/>
      <c r="J60" s="60">
        <v>267</v>
      </c>
      <c r="K60" s="77" t="s">
        <v>103</v>
      </c>
      <c r="L60" s="77" t="s">
        <v>139</v>
      </c>
      <c r="M60" s="78" t="s">
        <v>574</v>
      </c>
      <c r="N60" s="77" t="s">
        <v>140</v>
      </c>
      <c r="O60" s="77" t="s">
        <v>760</v>
      </c>
      <c r="P60" s="79">
        <v>0</v>
      </c>
      <c r="Q60" s="80" t="s">
        <v>25</v>
      </c>
      <c r="R60" s="80" t="s">
        <v>26</v>
      </c>
      <c r="S60" s="78">
        <v>2031</v>
      </c>
      <c r="T60" s="81">
        <v>48212</v>
      </c>
      <c r="U60" s="82">
        <v>0.7</v>
      </c>
      <c r="V60" s="82">
        <v>0.30000000000000004</v>
      </c>
      <c r="W60" s="83">
        <f t="shared" si="12"/>
        <v>1</v>
      </c>
      <c r="X60" s="82">
        <v>0.05</v>
      </c>
      <c r="Y60" s="82">
        <v>0</v>
      </c>
      <c r="Z60" s="82">
        <v>6.8000000000000005E-2</v>
      </c>
      <c r="AA60" s="84">
        <v>0.19800000000000001</v>
      </c>
      <c r="AB60" s="82"/>
      <c r="AC60" s="85">
        <f t="shared" si="13"/>
        <v>211978.4</v>
      </c>
      <c r="AD60" s="81"/>
      <c r="AE60" s="86">
        <f t="shared" si="14"/>
        <v>0</v>
      </c>
      <c r="AF60" s="84">
        <f t="shared" si="15"/>
        <v>0</v>
      </c>
      <c r="AG60" s="87">
        <f t="shared" si="16"/>
        <v>34.552479200000001</v>
      </c>
      <c r="AH60" s="86">
        <v>163</v>
      </c>
      <c r="AI60" s="86">
        <v>289.58797814207651</v>
      </c>
      <c r="AJ60" s="86">
        <v>732</v>
      </c>
      <c r="AK60" s="86">
        <v>600</v>
      </c>
      <c r="AL60" s="87">
        <f t="shared" si="17"/>
        <v>127.18704</v>
      </c>
      <c r="AM60" s="87">
        <f t="shared" si="18"/>
        <v>89.030927999999989</v>
      </c>
      <c r="AN60" s="88">
        <f t="shared" si="19"/>
        <v>173752.78688524591</v>
      </c>
      <c r="AO60" s="88">
        <f t="shared" si="20"/>
        <v>47202.840437158469</v>
      </c>
      <c r="AP60" s="89">
        <f t="shared" si="21"/>
        <v>0.7</v>
      </c>
      <c r="AQ60" s="90">
        <f t="shared" si="22"/>
        <v>2.576687116564417</v>
      </c>
      <c r="AR60" s="91" t="s">
        <v>783</v>
      </c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</row>
    <row r="61" spans="1:147" s="120" customFormat="1" ht="12.5" hidden="1">
      <c r="A61" s="62" t="s">
        <v>481</v>
      </c>
      <c r="B61" s="62" t="s">
        <v>665</v>
      </c>
      <c r="C61" s="63" t="s">
        <v>363</v>
      </c>
      <c r="D61" s="64">
        <v>1</v>
      </c>
      <c r="E61" s="65" t="s">
        <v>740</v>
      </c>
      <c r="F61" s="61"/>
      <c r="G61" s="66">
        <v>2377</v>
      </c>
      <c r="H61" s="61"/>
      <c r="I61" s="61"/>
      <c r="J61" s="60">
        <v>279</v>
      </c>
      <c r="K61" s="77" t="s">
        <v>143</v>
      </c>
      <c r="L61" s="77" t="s">
        <v>145</v>
      </c>
      <c r="M61" s="78" t="s">
        <v>575</v>
      </c>
      <c r="N61" s="77" t="s">
        <v>599</v>
      </c>
      <c r="O61" s="77" t="s">
        <v>760</v>
      </c>
      <c r="P61" s="79">
        <v>0</v>
      </c>
      <c r="Q61" s="80" t="s">
        <v>25</v>
      </c>
      <c r="R61" s="80" t="s">
        <v>26</v>
      </c>
      <c r="S61" s="78">
        <v>2031</v>
      </c>
      <c r="T61" s="81">
        <v>48213</v>
      </c>
      <c r="U61" s="82">
        <v>0.56000000000000005</v>
      </c>
      <c r="V61" s="82">
        <v>0.29999999999999993</v>
      </c>
      <c r="W61" s="83">
        <f t="shared" si="12"/>
        <v>0.86</v>
      </c>
      <c r="X61" s="82">
        <v>7.0000000000000007E-2</v>
      </c>
      <c r="Y61" s="82">
        <v>9.5000000000000001E-2</v>
      </c>
      <c r="Z61" s="82">
        <v>6.8000000000000005E-2</v>
      </c>
      <c r="AA61" s="84">
        <v>0.19800000000000001</v>
      </c>
      <c r="AB61" s="82">
        <v>0.14000000000000001</v>
      </c>
      <c r="AC61" s="85">
        <f t="shared" si="13"/>
        <v>220066.66666666666</v>
      </c>
      <c r="AD61" s="81"/>
      <c r="AE61" s="86">
        <f t="shared" si="14"/>
        <v>0</v>
      </c>
      <c r="AF61" s="84">
        <f t="shared" si="15"/>
        <v>0</v>
      </c>
      <c r="AG61" s="87">
        <f t="shared" si="16"/>
        <v>38.511666666666663</v>
      </c>
      <c r="AH61" s="86">
        <v>175</v>
      </c>
      <c r="AI61" s="86">
        <v>269.35944512443899</v>
      </c>
      <c r="AJ61" s="86">
        <v>817</v>
      </c>
      <c r="AK61" s="86">
        <v>650</v>
      </c>
      <c r="AL61" s="87">
        <f t="shared" si="17"/>
        <v>143.04333333333332</v>
      </c>
      <c r="AM61" s="87">
        <f t="shared" si="18"/>
        <v>80.104266666666675</v>
      </c>
      <c r="AN61" s="88">
        <f t="shared" si="19"/>
        <v>175083.63933088534</v>
      </c>
      <c r="AO61" s="88">
        <f t="shared" si="20"/>
        <v>47137.902896776824</v>
      </c>
      <c r="AP61" s="89">
        <f t="shared" si="21"/>
        <v>0.70000000000000007</v>
      </c>
      <c r="AQ61" s="90">
        <f t="shared" si="22"/>
        <v>2.6000000000000005</v>
      </c>
      <c r="AR61" s="91" t="s">
        <v>783</v>
      </c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</row>
    <row r="62" spans="1:147" s="59" customFormat="1" ht="12.5" hidden="1">
      <c r="A62" s="103" t="s">
        <v>483</v>
      </c>
      <c r="B62" s="103" t="s">
        <v>667</v>
      </c>
      <c r="C62" s="104" t="s">
        <v>362</v>
      </c>
      <c r="D62" s="33">
        <v>1</v>
      </c>
      <c r="E62" s="34" t="s">
        <v>740</v>
      </c>
      <c r="F62" s="35"/>
      <c r="G62" s="36">
        <v>2381</v>
      </c>
      <c r="H62" s="35"/>
      <c r="I62" s="35"/>
      <c r="J62" s="37">
        <v>282</v>
      </c>
      <c r="K62" s="105" t="s">
        <v>143</v>
      </c>
      <c r="L62" s="105" t="s">
        <v>146</v>
      </c>
      <c r="M62" s="106" t="s">
        <v>575</v>
      </c>
      <c r="N62" s="105" t="s">
        <v>601</v>
      </c>
      <c r="O62" s="105" t="s">
        <v>760</v>
      </c>
      <c r="P62" s="107">
        <v>0</v>
      </c>
      <c r="Q62" s="108" t="s">
        <v>73</v>
      </c>
      <c r="R62" s="108" t="s">
        <v>759</v>
      </c>
      <c r="S62" s="106">
        <v>2031</v>
      </c>
      <c r="T62" s="109">
        <v>48213</v>
      </c>
      <c r="U62" s="110">
        <v>0.43409999999999999</v>
      </c>
      <c r="V62" s="110">
        <v>0.45740000000000003</v>
      </c>
      <c r="W62" s="111">
        <f t="shared" si="12"/>
        <v>0.89149999999999996</v>
      </c>
      <c r="X62" s="110">
        <v>7.0000000000000007E-2</v>
      </c>
      <c r="Y62" s="110">
        <v>0.06</v>
      </c>
      <c r="Z62" s="110">
        <v>6.8000000000000005E-2</v>
      </c>
      <c r="AA62" s="112">
        <v>0.19800000000000001</v>
      </c>
      <c r="AB62" s="110">
        <v>0.10850000000000004</v>
      </c>
      <c r="AC62" s="113">
        <f t="shared" si="13"/>
        <v>132000</v>
      </c>
      <c r="AD62" s="109"/>
      <c r="AE62" s="114">
        <f t="shared" si="14"/>
        <v>0</v>
      </c>
      <c r="AF62" s="112">
        <f t="shared" si="15"/>
        <v>0</v>
      </c>
      <c r="AG62" s="115">
        <f t="shared" si="16"/>
        <v>39.6</v>
      </c>
      <c r="AH62" s="114">
        <v>300</v>
      </c>
      <c r="AI62" s="114">
        <v>184.87394957983193</v>
      </c>
      <c r="AJ62" s="114">
        <v>714</v>
      </c>
      <c r="AK62" s="114">
        <v>1200</v>
      </c>
      <c r="AL62" s="115">
        <f t="shared" si="17"/>
        <v>158.4</v>
      </c>
      <c r="AM62" s="115">
        <f t="shared" si="18"/>
        <v>68.761439999999993</v>
      </c>
      <c r="AN62" s="116">
        <f t="shared" si="19"/>
        <v>221848.73949579831</v>
      </c>
      <c r="AO62" s="116">
        <f t="shared" si="20"/>
        <v>55462.184873949576</v>
      </c>
      <c r="AP62" s="117">
        <f t="shared" si="21"/>
        <v>0.54259999999999997</v>
      </c>
      <c r="AQ62" s="118">
        <f t="shared" si="22"/>
        <v>2.1703999999999999</v>
      </c>
      <c r="AR62" s="119" t="s">
        <v>783</v>
      </c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</row>
    <row r="63" spans="1:147" s="120" customFormat="1" ht="12.5" hidden="1">
      <c r="A63" s="62" t="s">
        <v>493</v>
      </c>
      <c r="B63" s="62" t="s">
        <v>686</v>
      </c>
      <c r="C63" s="63" t="s">
        <v>352</v>
      </c>
      <c r="D63" s="64">
        <v>1</v>
      </c>
      <c r="E63" s="65" t="s">
        <v>740</v>
      </c>
      <c r="F63" s="61"/>
      <c r="G63" s="66">
        <v>2373</v>
      </c>
      <c r="H63" s="61"/>
      <c r="I63" s="61"/>
      <c r="J63" s="60">
        <v>307</v>
      </c>
      <c r="K63" s="77" t="s">
        <v>143</v>
      </c>
      <c r="L63" s="77" t="s">
        <v>150</v>
      </c>
      <c r="M63" s="78" t="s">
        <v>575</v>
      </c>
      <c r="N63" s="77" t="s">
        <v>605</v>
      </c>
      <c r="O63" s="77" t="s">
        <v>760</v>
      </c>
      <c r="P63" s="79">
        <v>0</v>
      </c>
      <c r="Q63" s="80" t="s">
        <v>25</v>
      </c>
      <c r="R63" s="80" t="s">
        <v>26</v>
      </c>
      <c r="S63" s="78">
        <v>2031</v>
      </c>
      <c r="T63" s="81">
        <v>48029</v>
      </c>
      <c r="U63" s="82">
        <v>0.59179999999999999</v>
      </c>
      <c r="V63" s="82">
        <v>0.26029999999999998</v>
      </c>
      <c r="W63" s="83">
        <f t="shared" si="12"/>
        <v>0.85209999999999997</v>
      </c>
      <c r="X63" s="82">
        <v>7.0000000000000007E-2</v>
      </c>
      <c r="Y63" s="82">
        <v>9.5000000000000001E-2</v>
      </c>
      <c r="Z63" s="82">
        <v>6.8000000000000005E-2</v>
      </c>
      <c r="AA63" s="84">
        <v>0.19800000000000001</v>
      </c>
      <c r="AB63" s="82">
        <v>0.14790000000000003</v>
      </c>
      <c r="AC63" s="85">
        <f t="shared" si="13"/>
        <v>375000</v>
      </c>
      <c r="AD63" s="81"/>
      <c r="AE63" s="86">
        <f t="shared" si="14"/>
        <v>0</v>
      </c>
      <c r="AF63" s="84">
        <f t="shared" si="15"/>
        <v>0</v>
      </c>
      <c r="AG63" s="87">
        <f t="shared" si="16"/>
        <v>65.625</v>
      </c>
      <c r="AH63" s="86">
        <v>175</v>
      </c>
      <c r="AI63" s="86">
        <v>400</v>
      </c>
      <c r="AJ63" s="86">
        <v>937.5</v>
      </c>
      <c r="AK63" s="86">
        <v>750</v>
      </c>
      <c r="AL63" s="87">
        <f t="shared" si="17"/>
        <v>281.25</v>
      </c>
      <c r="AM63" s="87">
        <f t="shared" si="18"/>
        <v>166.44374999999999</v>
      </c>
      <c r="AN63" s="88">
        <f t="shared" si="19"/>
        <v>300000</v>
      </c>
      <c r="AO63" s="88">
        <f t="shared" si="20"/>
        <v>70000</v>
      </c>
      <c r="AP63" s="89">
        <f t="shared" si="21"/>
        <v>0.73970000000000002</v>
      </c>
      <c r="AQ63" s="90">
        <f t="shared" si="22"/>
        <v>3.1701428571428574</v>
      </c>
      <c r="AR63" s="91" t="s">
        <v>783</v>
      </c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</row>
    <row r="64" spans="1:147" s="59" customFormat="1" ht="13" hidden="1">
      <c r="A64" s="62" t="s">
        <v>428</v>
      </c>
      <c r="B64" s="62" t="s">
        <v>209</v>
      </c>
      <c r="C64" s="63" t="s">
        <v>327</v>
      </c>
      <c r="D64" s="64">
        <v>1</v>
      </c>
      <c r="E64" s="65" t="s">
        <v>740</v>
      </c>
      <c r="F64" s="61"/>
      <c r="G64" s="66" t="s">
        <v>753</v>
      </c>
      <c r="H64" s="61"/>
      <c r="I64" s="61"/>
      <c r="J64" s="60">
        <v>165</v>
      </c>
      <c r="K64" s="77" t="s">
        <v>53</v>
      </c>
      <c r="L64" s="77" t="s">
        <v>54</v>
      </c>
      <c r="M64" s="78" t="s">
        <v>568</v>
      </c>
      <c r="N64" s="92" t="s">
        <v>59</v>
      </c>
      <c r="O64" s="77" t="s">
        <v>756</v>
      </c>
      <c r="P64" s="79">
        <v>2781250</v>
      </c>
      <c r="Q64" s="80" t="s">
        <v>25</v>
      </c>
      <c r="R64" s="80" t="s">
        <v>26</v>
      </c>
      <c r="S64" s="78">
        <v>2031</v>
      </c>
      <c r="T64" s="81">
        <v>48213</v>
      </c>
      <c r="U64" s="82">
        <v>0.36959999999999998</v>
      </c>
      <c r="V64" s="82"/>
      <c r="W64" s="83">
        <f t="shared" si="12"/>
        <v>0.36959999999999998</v>
      </c>
      <c r="X64" s="82"/>
      <c r="Y64" s="82"/>
      <c r="Z64" s="82"/>
      <c r="AA64" s="84">
        <v>0.19800000000000001</v>
      </c>
      <c r="AB64" s="82">
        <v>0.63040000000000007</v>
      </c>
      <c r="AC64" s="85">
        <f t="shared" si="13"/>
        <v>202400</v>
      </c>
      <c r="AD64" s="81"/>
      <c r="AE64" s="86">
        <f t="shared" si="14"/>
        <v>2.78125</v>
      </c>
      <c r="AF64" s="84">
        <f t="shared" si="15"/>
        <v>2.4984279554437657E-2</v>
      </c>
      <c r="AG64" s="87">
        <f t="shared" si="16"/>
        <v>25.9072</v>
      </c>
      <c r="AH64" s="86">
        <v>128</v>
      </c>
      <c r="AI64" s="86">
        <v>275</v>
      </c>
      <c r="AJ64" s="86">
        <v>736</v>
      </c>
      <c r="AK64" s="86">
        <v>550</v>
      </c>
      <c r="AL64" s="87">
        <f t="shared" si="17"/>
        <v>111.32</v>
      </c>
      <c r="AM64" s="87">
        <f t="shared" si="18"/>
        <v>41.143871999999995</v>
      </c>
      <c r="AN64" s="88">
        <f t="shared" si="19"/>
        <v>151250</v>
      </c>
      <c r="AO64" s="88">
        <f t="shared" si="20"/>
        <v>35200</v>
      </c>
      <c r="AP64" s="89">
        <f t="shared" si="21"/>
        <v>1</v>
      </c>
      <c r="AQ64" s="90">
        <f t="shared" si="22"/>
        <v>3.8803072316559448</v>
      </c>
      <c r="AR64" s="91" t="s">
        <v>783</v>
      </c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</row>
    <row r="65" spans="1:147" s="120" customFormat="1" ht="12.5" hidden="1">
      <c r="A65" s="62" t="s">
        <v>429</v>
      </c>
      <c r="B65" s="62" t="s">
        <v>224</v>
      </c>
      <c r="C65" s="63" t="s">
        <v>328</v>
      </c>
      <c r="D65" s="64">
        <v>1</v>
      </c>
      <c r="E65" s="65" t="s">
        <v>740</v>
      </c>
      <c r="F65" s="61"/>
      <c r="G65" s="66" t="s">
        <v>753</v>
      </c>
      <c r="H65" s="61"/>
      <c r="I65" s="61"/>
      <c r="J65" s="60">
        <v>183</v>
      </c>
      <c r="K65" s="77" t="s">
        <v>53</v>
      </c>
      <c r="L65" s="77" t="s">
        <v>54</v>
      </c>
      <c r="M65" s="78" t="s">
        <v>568</v>
      </c>
      <c r="N65" s="77" t="s">
        <v>797</v>
      </c>
      <c r="O65" s="77" t="s">
        <v>760</v>
      </c>
      <c r="P65" s="79">
        <v>0</v>
      </c>
      <c r="Q65" s="80" t="s">
        <v>73</v>
      </c>
      <c r="R65" s="80" t="s">
        <v>26</v>
      </c>
      <c r="S65" s="78">
        <v>2031</v>
      </c>
      <c r="T65" s="81">
        <v>48213</v>
      </c>
      <c r="U65" s="82">
        <v>0.442</v>
      </c>
      <c r="V65" s="82">
        <v>0.35</v>
      </c>
      <c r="W65" s="83">
        <f t="shared" si="12"/>
        <v>0.79200000000000004</v>
      </c>
      <c r="X65" s="82">
        <v>0.05</v>
      </c>
      <c r="Y65" s="82">
        <v>7.0000000000000007E-2</v>
      </c>
      <c r="Z65" s="82">
        <v>6.8000000000000005E-2</v>
      </c>
      <c r="AA65" s="84">
        <v>0.19800000000000001</v>
      </c>
      <c r="AB65" s="82">
        <v>0.20799999999999996</v>
      </c>
      <c r="AC65" s="85">
        <f t="shared" si="13"/>
        <v>178172.5</v>
      </c>
      <c r="AD65" s="81"/>
      <c r="AE65" s="86">
        <f t="shared" si="14"/>
        <v>0</v>
      </c>
      <c r="AF65" s="84">
        <f t="shared" si="15"/>
        <v>0</v>
      </c>
      <c r="AG65" s="87">
        <f t="shared" si="16"/>
        <v>46.324849999999998</v>
      </c>
      <c r="AH65" s="86">
        <v>260</v>
      </c>
      <c r="AI65" s="86">
        <v>350</v>
      </c>
      <c r="AJ65" s="86">
        <v>509.06428571428569</v>
      </c>
      <c r="AK65" s="86">
        <v>1250</v>
      </c>
      <c r="AL65" s="87">
        <f t="shared" si="17"/>
        <v>222.71562499999999</v>
      </c>
      <c r="AM65" s="87">
        <f t="shared" si="18"/>
        <v>98.440306249999992</v>
      </c>
      <c r="AN65" s="88">
        <f t="shared" si="19"/>
        <v>437500</v>
      </c>
      <c r="AO65" s="88">
        <f t="shared" si="20"/>
        <v>91000</v>
      </c>
      <c r="AP65" s="89">
        <f t="shared" si="21"/>
        <v>0.64999999999999991</v>
      </c>
      <c r="AQ65" s="90">
        <f t="shared" si="22"/>
        <v>3.1249999999999991</v>
      </c>
      <c r="AR65" s="91" t="s">
        <v>783</v>
      </c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</row>
    <row r="66" spans="1:147" s="59" customFormat="1" ht="12.5" hidden="1">
      <c r="A66" s="103" t="s">
        <v>426</v>
      </c>
      <c r="B66" s="103" t="s">
        <v>199</v>
      </c>
      <c r="C66" s="104" t="s">
        <v>324</v>
      </c>
      <c r="D66" s="33">
        <v>1</v>
      </c>
      <c r="E66" s="34" t="s">
        <v>740</v>
      </c>
      <c r="F66" s="35"/>
      <c r="G66" s="36">
        <v>2123</v>
      </c>
      <c r="H66" s="35"/>
      <c r="I66" s="35"/>
      <c r="J66" s="37">
        <v>155</v>
      </c>
      <c r="K66" s="105" t="s">
        <v>22</v>
      </c>
      <c r="L66" s="105" t="s">
        <v>44</v>
      </c>
      <c r="M66" s="106" t="s">
        <v>567</v>
      </c>
      <c r="N66" s="105" t="s">
        <v>47</v>
      </c>
      <c r="O66" s="105" t="s">
        <v>756</v>
      </c>
      <c r="P66" s="107">
        <v>114285.71</v>
      </c>
      <c r="Q66" s="108" t="s">
        <v>25</v>
      </c>
      <c r="R66" s="108" t="s">
        <v>759</v>
      </c>
      <c r="S66" s="106">
        <v>2032</v>
      </c>
      <c r="T66" s="109">
        <v>48579</v>
      </c>
      <c r="U66" s="110">
        <v>1</v>
      </c>
      <c r="V66" s="110"/>
      <c r="W66" s="111">
        <f t="shared" si="12"/>
        <v>1</v>
      </c>
      <c r="X66" s="110"/>
      <c r="Y66" s="110"/>
      <c r="Z66" s="110"/>
      <c r="AA66" s="112">
        <v>0.19800000000000001</v>
      </c>
      <c r="AB66" s="110"/>
      <c r="AC66" s="113">
        <f t="shared" si="13"/>
        <v>105000</v>
      </c>
      <c r="AD66" s="109"/>
      <c r="AE66" s="114">
        <f t="shared" si="14"/>
        <v>0.11428571000000001</v>
      </c>
      <c r="AF66" s="112">
        <f t="shared" si="15"/>
        <v>2.7908598290598292E-3</v>
      </c>
      <c r="AG66" s="115">
        <f t="shared" si="16"/>
        <v>13.9755</v>
      </c>
      <c r="AH66" s="114">
        <v>133.1</v>
      </c>
      <c r="AI66" s="114">
        <v>210</v>
      </c>
      <c r="AJ66" s="114">
        <v>500</v>
      </c>
      <c r="AK66" s="114">
        <v>390</v>
      </c>
      <c r="AL66" s="115">
        <f t="shared" si="17"/>
        <v>40.950000000000003</v>
      </c>
      <c r="AM66" s="115">
        <f t="shared" si="18"/>
        <v>40.950000000000003</v>
      </c>
      <c r="AN66" s="116">
        <f t="shared" si="19"/>
        <v>81900</v>
      </c>
      <c r="AO66" s="116">
        <f t="shared" si="20"/>
        <v>27951</v>
      </c>
      <c r="AP66" s="117">
        <f t="shared" si="21"/>
        <v>1</v>
      </c>
      <c r="AQ66" s="118">
        <f t="shared" si="22"/>
        <v>2.9063607383990511</v>
      </c>
      <c r="AR66" s="119" t="s">
        <v>783</v>
      </c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</row>
    <row r="67" spans="1:147" s="120" customFormat="1" ht="12.5">
      <c r="A67" s="103" t="s">
        <v>513</v>
      </c>
      <c r="B67" s="103" t="s">
        <v>298</v>
      </c>
      <c r="C67" s="104" t="s">
        <v>341</v>
      </c>
      <c r="D67" s="33">
        <v>1</v>
      </c>
      <c r="E67" s="34" t="s">
        <v>740</v>
      </c>
      <c r="F67" s="35"/>
      <c r="G67" s="36">
        <v>2107</v>
      </c>
      <c r="H67" s="35"/>
      <c r="I67" s="35"/>
      <c r="J67" s="37">
        <v>344</v>
      </c>
      <c r="K67" s="105" t="s">
        <v>159</v>
      </c>
      <c r="L67" s="105" t="s">
        <v>166</v>
      </c>
      <c r="M67" s="106" t="s">
        <v>577</v>
      </c>
      <c r="N67" s="105" t="s">
        <v>46</v>
      </c>
      <c r="O67" s="105" t="s">
        <v>756</v>
      </c>
      <c r="P67" s="107">
        <v>10682.93</v>
      </c>
      <c r="Q67" s="108" t="s">
        <v>25</v>
      </c>
      <c r="R67" s="108" t="s">
        <v>26</v>
      </c>
      <c r="S67" s="106">
        <v>2032</v>
      </c>
      <c r="T67" s="109">
        <v>48579</v>
      </c>
      <c r="U67" s="110">
        <v>0.7</v>
      </c>
      <c r="V67" s="110">
        <v>0.30000000000000004</v>
      </c>
      <c r="W67" s="111">
        <f t="shared" si="12"/>
        <v>1</v>
      </c>
      <c r="X67" s="110">
        <v>0.05</v>
      </c>
      <c r="Y67" s="110">
        <v>9.0000000000000011E-2</v>
      </c>
      <c r="Z67" s="110">
        <v>6.8000000000000005E-2</v>
      </c>
      <c r="AA67" s="112">
        <v>0.19800000000000001</v>
      </c>
      <c r="AB67" s="110"/>
      <c r="AC67" s="113">
        <f t="shared" si="13"/>
        <v>365843.31</v>
      </c>
      <c r="AD67" s="109"/>
      <c r="AE67" s="114">
        <f t="shared" si="14"/>
        <v>1.068293E-2</v>
      </c>
      <c r="AF67" s="112">
        <f t="shared" si="15"/>
        <v>5.8401669282950674E-5</v>
      </c>
      <c r="AG67" s="115">
        <f t="shared" si="16"/>
        <v>48.657160229999995</v>
      </c>
      <c r="AH67" s="114">
        <v>133</v>
      </c>
      <c r="AI67" s="114">
        <v>263.76590483056958</v>
      </c>
      <c r="AJ67" s="114">
        <v>1387</v>
      </c>
      <c r="AK67" s="114">
        <v>500</v>
      </c>
      <c r="AL67" s="115">
        <f t="shared" si="17"/>
        <v>182.92165499999999</v>
      </c>
      <c r="AM67" s="115">
        <f t="shared" si="18"/>
        <v>128.04515849999999</v>
      </c>
      <c r="AN67" s="116">
        <f t="shared" si="19"/>
        <v>131882.95241528479</v>
      </c>
      <c r="AO67" s="116">
        <f t="shared" si="20"/>
        <v>35080.865342465753</v>
      </c>
      <c r="AP67" s="117">
        <f t="shared" si="21"/>
        <v>0.7</v>
      </c>
      <c r="AQ67" s="118">
        <f t="shared" si="22"/>
        <v>2.6310012974900037</v>
      </c>
      <c r="AR67" s="119" t="s">
        <v>783</v>
      </c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</row>
    <row r="68" spans="1:147" s="59" customFormat="1" ht="12.5" hidden="1">
      <c r="A68" s="62" t="s">
        <v>474</v>
      </c>
      <c r="B68" s="62" t="s">
        <v>277</v>
      </c>
      <c r="C68" s="63" t="s">
        <v>369</v>
      </c>
      <c r="D68" s="64">
        <v>1</v>
      </c>
      <c r="E68" s="65" t="s">
        <v>740</v>
      </c>
      <c r="F68" s="61"/>
      <c r="G68" s="66" t="s">
        <v>753</v>
      </c>
      <c r="H68" s="61"/>
      <c r="I68" s="61"/>
      <c r="J68" s="60">
        <v>264</v>
      </c>
      <c r="K68" s="77" t="s">
        <v>103</v>
      </c>
      <c r="L68" s="77" t="s">
        <v>137</v>
      </c>
      <c r="M68" s="78" t="s">
        <v>583</v>
      </c>
      <c r="N68" s="77" t="s">
        <v>24</v>
      </c>
      <c r="O68" s="77" t="s">
        <v>760</v>
      </c>
      <c r="P68" s="79">
        <v>0</v>
      </c>
      <c r="Q68" s="80" t="s">
        <v>25</v>
      </c>
      <c r="R68" s="80" t="s">
        <v>26</v>
      </c>
      <c r="S68" s="78">
        <v>2032</v>
      </c>
      <c r="T68" s="81">
        <v>48395</v>
      </c>
      <c r="U68" s="82">
        <v>0.7</v>
      </c>
      <c r="V68" s="82">
        <v>0.30000000000000004</v>
      </c>
      <c r="W68" s="97">
        <f t="shared" si="12"/>
        <v>1</v>
      </c>
      <c r="X68" s="82">
        <v>0.05</v>
      </c>
      <c r="Y68" s="82">
        <v>0</v>
      </c>
      <c r="Z68" s="82">
        <v>6.8000000000000005E-2</v>
      </c>
      <c r="AA68" s="98">
        <v>0.19800000000000001</v>
      </c>
      <c r="AB68" s="82"/>
      <c r="AC68" s="99">
        <f t="shared" si="13"/>
        <v>167923</v>
      </c>
      <c r="AD68" s="81"/>
      <c r="AE68" s="86">
        <f t="shared" si="14"/>
        <v>0</v>
      </c>
      <c r="AF68" s="98">
        <f t="shared" si="15"/>
        <v>0</v>
      </c>
      <c r="AG68" s="86">
        <f t="shared" si="16"/>
        <v>27.371448999999998</v>
      </c>
      <c r="AH68" s="86">
        <v>163</v>
      </c>
      <c r="AI68" s="86">
        <v>203.29661016949152</v>
      </c>
      <c r="AJ68" s="86">
        <v>826</v>
      </c>
      <c r="AK68" s="86">
        <v>600</v>
      </c>
      <c r="AL68" s="86">
        <f t="shared" si="17"/>
        <v>100.7538</v>
      </c>
      <c r="AM68" s="86">
        <f t="shared" si="18"/>
        <v>70.527659999999997</v>
      </c>
      <c r="AN68" s="88">
        <f t="shared" si="19"/>
        <v>121977.96610169491</v>
      </c>
      <c r="AO68" s="100">
        <f t="shared" si="20"/>
        <v>33137.347457627118</v>
      </c>
      <c r="AP68" s="101">
        <f t="shared" si="21"/>
        <v>0.7</v>
      </c>
      <c r="AQ68" s="102">
        <f t="shared" si="22"/>
        <v>2.5766871165644174</v>
      </c>
      <c r="AR68" s="91" t="s">
        <v>783</v>
      </c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</row>
    <row r="69" spans="1:147" s="120" customFormat="1" ht="12.5" hidden="1">
      <c r="A69" s="62" t="s">
        <v>466</v>
      </c>
      <c r="B69" s="62" t="s">
        <v>265</v>
      </c>
      <c r="C69" s="63" t="s">
        <v>376</v>
      </c>
      <c r="D69" s="64">
        <v>1</v>
      </c>
      <c r="E69" s="65" t="s">
        <v>740</v>
      </c>
      <c r="F69" s="61"/>
      <c r="G69" s="66">
        <v>2286</v>
      </c>
      <c r="H69" s="61"/>
      <c r="I69" s="61"/>
      <c r="J69" s="60">
        <v>252</v>
      </c>
      <c r="K69" s="77" t="s">
        <v>103</v>
      </c>
      <c r="L69" s="77" t="s">
        <v>124</v>
      </c>
      <c r="M69" s="78" t="s">
        <v>583</v>
      </c>
      <c r="N69" s="77" t="s">
        <v>47</v>
      </c>
      <c r="O69" s="77" t="s">
        <v>760</v>
      </c>
      <c r="P69" s="79">
        <v>0</v>
      </c>
      <c r="Q69" s="80" t="s">
        <v>25</v>
      </c>
      <c r="R69" s="80" t="s">
        <v>26</v>
      </c>
      <c r="S69" s="78">
        <v>2032</v>
      </c>
      <c r="T69" s="81">
        <v>48395</v>
      </c>
      <c r="U69" s="82">
        <v>0.45</v>
      </c>
      <c r="V69" s="82">
        <v>0.5</v>
      </c>
      <c r="W69" s="83">
        <f t="shared" si="12"/>
        <v>0.95</v>
      </c>
      <c r="X69" s="82">
        <v>0.05</v>
      </c>
      <c r="Y69" s="82">
        <v>9.0000000000000011E-2</v>
      </c>
      <c r="Z69" s="82">
        <v>6.8000000000000005E-2</v>
      </c>
      <c r="AA69" s="84">
        <v>0.19800000000000001</v>
      </c>
      <c r="AB69" s="82">
        <v>5.0000000000000044E-2</v>
      </c>
      <c r="AC69" s="85">
        <f t="shared" si="13"/>
        <v>308574.72199999995</v>
      </c>
      <c r="AD69" s="81"/>
      <c r="AE69" s="86">
        <f t="shared" si="14"/>
        <v>0</v>
      </c>
      <c r="AF69" s="84">
        <f t="shared" si="15"/>
        <v>0</v>
      </c>
      <c r="AG69" s="87">
        <f t="shared" si="16"/>
        <v>50.297679685999995</v>
      </c>
      <c r="AH69" s="86">
        <v>163</v>
      </c>
      <c r="AI69" s="86">
        <v>299.00651356589145</v>
      </c>
      <c r="AJ69" s="86">
        <v>1032</v>
      </c>
      <c r="AK69" s="86">
        <v>665</v>
      </c>
      <c r="AL69" s="87">
        <f t="shared" si="17"/>
        <v>205.20219012999999</v>
      </c>
      <c r="AM69" s="87">
        <f t="shared" si="18"/>
        <v>92.340985558499995</v>
      </c>
      <c r="AN69" s="88">
        <f t="shared" si="19"/>
        <v>198839.33152131783</v>
      </c>
      <c r="AO69" s="88">
        <f t="shared" si="20"/>
        <v>48738.061711240305</v>
      </c>
      <c r="AP69" s="89">
        <f t="shared" si="21"/>
        <v>0.5</v>
      </c>
      <c r="AQ69" s="90">
        <f t="shared" si="22"/>
        <v>2.0398773006134969</v>
      </c>
      <c r="AR69" s="91" t="s">
        <v>783</v>
      </c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</row>
    <row r="70" spans="1:147" s="59" customFormat="1" ht="12.5" hidden="1">
      <c r="A70" s="103" t="s">
        <v>475</v>
      </c>
      <c r="B70" s="103" t="s">
        <v>279</v>
      </c>
      <c r="C70" s="104" t="s">
        <v>368</v>
      </c>
      <c r="D70" s="33">
        <v>0</v>
      </c>
      <c r="E70" s="34" t="s">
        <v>740</v>
      </c>
      <c r="F70" s="35"/>
      <c r="G70" s="36">
        <v>2290</v>
      </c>
      <c r="H70" s="35"/>
      <c r="I70" s="35"/>
      <c r="J70" s="37">
        <v>266</v>
      </c>
      <c r="K70" s="105" t="s">
        <v>103</v>
      </c>
      <c r="L70" s="105" t="s">
        <v>138</v>
      </c>
      <c r="M70" s="106" t="s">
        <v>572</v>
      </c>
      <c r="N70" s="105" t="s">
        <v>24</v>
      </c>
      <c r="O70" s="105" t="s">
        <v>760</v>
      </c>
      <c r="P70" s="107">
        <v>0</v>
      </c>
      <c r="Q70" s="108" t="s">
        <v>25</v>
      </c>
      <c r="R70" s="108" t="s">
        <v>26</v>
      </c>
      <c r="S70" s="106">
        <v>2032</v>
      </c>
      <c r="T70" s="109">
        <v>48487</v>
      </c>
      <c r="U70" s="110">
        <v>0.7</v>
      </c>
      <c r="V70" s="110">
        <v>0.30000000000000004</v>
      </c>
      <c r="W70" s="123">
        <f t="shared" si="12"/>
        <v>1</v>
      </c>
      <c r="X70" s="110">
        <v>0.05</v>
      </c>
      <c r="Y70" s="110">
        <v>0</v>
      </c>
      <c r="Z70" s="110">
        <v>6.8000000000000005E-2</v>
      </c>
      <c r="AA70" s="124">
        <v>0.19800000000000001</v>
      </c>
      <c r="AB70" s="110"/>
      <c r="AC70" s="125">
        <f t="shared" si="13"/>
        <v>134500</v>
      </c>
      <c r="AD70" s="109"/>
      <c r="AE70" s="114">
        <f t="shared" si="14"/>
        <v>0</v>
      </c>
      <c r="AF70" s="124">
        <f t="shared" si="15"/>
        <v>0</v>
      </c>
      <c r="AG70" s="114">
        <f t="shared" si="16"/>
        <v>21.923500000000001</v>
      </c>
      <c r="AH70" s="114">
        <v>163</v>
      </c>
      <c r="AI70" s="114">
        <v>269</v>
      </c>
      <c r="AJ70" s="114">
        <v>500</v>
      </c>
      <c r="AK70" s="114">
        <v>600</v>
      </c>
      <c r="AL70" s="114">
        <f t="shared" si="17"/>
        <v>80.7</v>
      </c>
      <c r="AM70" s="114">
        <f t="shared" si="18"/>
        <v>56.489999999999995</v>
      </c>
      <c r="AN70" s="116">
        <f t="shared" si="19"/>
        <v>161400</v>
      </c>
      <c r="AO70" s="126">
        <f t="shared" si="20"/>
        <v>43847</v>
      </c>
      <c r="AP70" s="127">
        <f t="shared" si="21"/>
        <v>0.7</v>
      </c>
      <c r="AQ70" s="128">
        <f t="shared" si="22"/>
        <v>2.576687116564417</v>
      </c>
      <c r="AR70" s="119" t="s">
        <v>783</v>
      </c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</row>
    <row r="71" spans="1:147" s="120" customFormat="1" ht="12.5" hidden="1">
      <c r="A71" s="103" t="s">
        <v>477</v>
      </c>
      <c r="B71" s="103" t="s">
        <v>412</v>
      </c>
      <c r="C71" s="104" t="s">
        <v>366</v>
      </c>
      <c r="D71" s="33">
        <v>1</v>
      </c>
      <c r="E71" s="34" t="s">
        <v>740</v>
      </c>
      <c r="F71" s="35"/>
      <c r="G71" s="36" t="s">
        <v>753</v>
      </c>
      <c r="H71" s="35"/>
      <c r="I71" s="35"/>
      <c r="J71" s="37">
        <v>268</v>
      </c>
      <c r="K71" s="105" t="s">
        <v>103</v>
      </c>
      <c r="L71" s="105" t="s">
        <v>141</v>
      </c>
      <c r="M71" s="106" t="s">
        <v>574</v>
      </c>
      <c r="N71" s="105" t="s">
        <v>24</v>
      </c>
      <c r="O71" s="105" t="s">
        <v>760</v>
      </c>
      <c r="P71" s="107">
        <v>0</v>
      </c>
      <c r="Q71" s="108" t="s">
        <v>25</v>
      </c>
      <c r="R71" s="108" t="s">
        <v>26</v>
      </c>
      <c r="S71" s="106">
        <v>2032</v>
      </c>
      <c r="T71" s="109">
        <v>48578</v>
      </c>
      <c r="U71" s="110">
        <v>0.7</v>
      </c>
      <c r="V71" s="110">
        <v>0.30000000000000004</v>
      </c>
      <c r="W71" s="111">
        <f t="shared" ref="W71:W87" si="23">SUM(U71:V71)</f>
        <v>1</v>
      </c>
      <c r="X71" s="110">
        <v>0.05</v>
      </c>
      <c r="Y71" s="110">
        <v>0</v>
      </c>
      <c r="Z71" s="110">
        <v>6.8000000000000005E-2</v>
      </c>
      <c r="AA71" s="112">
        <v>0.19800000000000001</v>
      </c>
      <c r="AB71" s="110"/>
      <c r="AC71" s="113">
        <f t="shared" ref="AC71:AC87" si="24">AI71*AJ71</f>
        <v>96864</v>
      </c>
      <c r="AD71" s="109"/>
      <c r="AE71" s="114">
        <f t="shared" ref="AE71:AE87" si="25">P71/10^6</f>
        <v>0</v>
      </c>
      <c r="AF71" s="112">
        <f t="shared" ref="AF71:AF87" si="26">IF(AL71=0,0,AE71/AL71)</f>
        <v>0</v>
      </c>
      <c r="AG71" s="115">
        <f t="shared" ref="AG71:AG87" si="27">(AH71*AI71*AJ71)/10^6</f>
        <v>15.788831999999999</v>
      </c>
      <c r="AH71" s="114">
        <v>163</v>
      </c>
      <c r="AI71" s="114">
        <v>232.28776978417267</v>
      </c>
      <c r="AJ71" s="114">
        <v>417</v>
      </c>
      <c r="AK71" s="114">
        <v>600</v>
      </c>
      <c r="AL71" s="115">
        <f t="shared" ref="AL71:AL87" si="28">(AK71*AJ71*AI71)/10^6</f>
        <v>58.118400000000001</v>
      </c>
      <c r="AM71" s="115">
        <f t="shared" ref="AM71:AM87" si="29">AL71*U71</f>
        <v>40.682879999999997</v>
      </c>
      <c r="AN71" s="116">
        <f t="shared" ref="AN71:AN87" si="30">AI71*AK71</f>
        <v>139372.66187050359</v>
      </c>
      <c r="AO71" s="116">
        <f t="shared" ref="AO71:AO87" si="31">AH71*AI71</f>
        <v>37862.906474820142</v>
      </c>
      <c r="AP71" s="117">
        <f t="shared" ref="AP71:AP87" si="32">U71+AB71</f>
        <v>0.7</v>
      </c>
      <c r="AQ71" s="118">
        <f t="shared" ref="AQ71:AQ87" si="33">AL71*AP71/(AG71+AE71)</f>
        <v>2.576687116564417</v>
      </c>
      <c r="AR71" s="119" t="s">
        <v>783</v>
      </c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</row>
    <row r="72" spans="1:147" s="59" customFormat="1" ht="12.5" hidden="1">
      <c r="A72" s="103" t="s">
        <v>482</v>
      </c>
      <c r="B72" s="103" t="s">
        <v>666</v>
      </c>
      <c r="C72" s="104" t="s">
        <v>363</v>
      </c>
      <c r="D72" s="33">
        <v>1</v>
      </c>
      <c r="E72" s="34" t="s">
        <v>740</v>
      </c>
      <c r="F72" s="35"/>
      <c r="G72" s="36">
        <v>2377</v>
      </c>
      <c r="H72" s="35"/>
      <c r="I72" s="35"/>
      <c r="J72" s="37">
        <v>280</v>
      </c>
      <c r="K72" s="105" t="s">
        <v>143</v>
      </c>
      <c r="L72" s="105" t="s">
        <v>145</v>
      </c>
      <c r="M72" s="106" t="s">
        <v>575</v>
      </c>
      <c r="N72" s="105" t="s">
        <v>600</v>
      </c>
      <c r="O72" s="105" t="s">
        <v>760</v>
      </c>
      <c r="P72" s="107">
        <v>0</v>
      </c>
      <c r="Q72" s="108" t="s">
        <v>25</v>
      </c>
      <c r="R72" s="108" t="s">
        <v>26</v>
      </c>
      <c r="S72" s="106">
        <v>2032</v>
      </c>
      <c r="T72" s="109">
        <v>48579</v>
      </c>
      <c r="U72" s="110">
        <v>0.56000000000000005</v>
      </c>
      <c r="V72" s="110">
        <v>0.29999999999999993</v>
      </c>
      <c r="W72" s="111">
        <f t="shared" si="23"/>
        <v>0.86</v>
      </c>
      <c r="X72" s="110">
        <v>7.0000000000000007E-2</v>
      </c>
      <c r="Y72" s="110">
        <v>9.5000000000000001E-2</v>
      </c>
      <c r="Z72" s="110">
        <v>6.8000000000000005E-2</v>
      </c>
      <c r="AA72" s="112">
        <v>0.19800000000000001</v>
      </c>
      <c r="AB72" s="110">
        <v>0.14000000000000001</v>
      </c>
      <c r="AC72" s="113">
        <f t="shared" si="24"/>
        <v>220066.66666666669</v>
      </c>
      <c r="AD72" s="109"/>
      <c r="AE72" s="114">
        <f t="shared" si="25"/>
        <v>0</v>
      </c>
      <c r="AF72" s="112">
        <f t="shared" si="26"/>
        <v>0</v>
      </c>
      <c r="AG72" s="115">
        <f t="shared" si="27"/>
        <v>38.51166666666667</v>
      </c>
      <c r="AH72" s="114">
        <v>175</v>
      </c>
      <c r="AI72" s="114">
        <v>269.03015484922577</v>
      </c>
      <c r="AJ72" s="114">
        <v>818</v>
      </c>
      <c r="AK72" s="114">
        <v>650</v>
      </c>
      <c r="AL72" s="115">
        <f t="shared" si="28"/>
        <v>143.04333333333335</v>
      </c>
      <c r="AM72" s="115">
        <f t="shared" si="29"/>
        <v>80.104266666666689</v>
      </c>
      <c r="AN72" s="116">
        <f t="shared" si="30"/>
        <v>174869.60065199673</v>
      </c>
      <c r="AO72" s="116">
        <f t="shared" si="31"/>
        <v>47080.277098614511</v>
      </c>
      <c r="AP72" s="117">
        <f t="shared" si="32"/>
        <v>0.70000000000000007</v>
      </c>
      <c r="AQ72" s="118">
        <f t="shared" si="33"/>
        <v>2.6</v>
      </c>
      <c r="AR72" s="119" t="s">
        <v>783</v>
      </c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</row>
    <row r="73" spans="1:147" s="120" customFormat="1" ht="12.5" hidden="1">
      <c r="A73" s="103" t="s">
        <v>483</v>
      </c>
      <c r="B73" s="103" t="s">
        <v>668</v>
      </c>
      <c r="C73" s="104" t="s">
        <v>362</v>
      </c>
      <c r="D73" s="33">
        <v>1</v>
      </c>
      <c r="E73" s="34" t="s">
        <v>740</v>
      </c>
      <c r="F73" s="35"/>
      <c r="G73" s="36">
        <v>2381</v>
      </c>
      <c r="H73" s="35"/>
      <c r="I73" s="35"/>
      <c r="J73" s="37">
        <v>286</v>
      </c>
      <c r="K73" s="105" t="s">
        <v>143</v>
      </c>
      <c r="L73" s="105" t="s">
        <v>146</v>
      </c>
      <c r="M73" s="106" t="s">
        <v>575</v>
      </c>
      <c r="N73" s="105" t="s">
        <v>602</v>
      </c>
      <c r="O73" s="105" t="s">
        <v>760</v>
      </c>
      <c r="P73" s="107">
        <v>0</v>
      </c>
      <c r="Q73" s="108" t="s">
        <v>25</v>
      </c>
      <c r="R73" s="108" t="s">
        <v>26</v>
      </c>
      <c r="S73" s="106">
        <v>2032</v>
      </c>
      <c r="T73" s="109">
        <v>48579</v>
      </c>
      <c r="U73" s="110">
        <v>0.43409999999999999</v>
      </c>
      <c r="V73" s="110">
        <v>0.29899999999999999</v>
      </c>
      <c r="W73" s="111">
        <f t="shared" si="23"/>
        <v>0.73309999999999997</v>
      </c>
      <c r="X73" s="110">
        <v>7.0000000000000007E-2</v>
      </c>
      <c r="Y73" s="110">
        <v>0.06</v>
      </c>
      <c r="Z73" s="110">
        <v>6.8000000000000005E-2</v>
      </c>
      <c r="AA73" s="112">
        <v>0.19800000000000001</v>
      </c>
      <c r="AB73" s="110">
        <v>0.26690000000000003</v>
      </c>
      <c r="AC73" s="113">
        <f t="shared" si="24"/>
        <v>168000</v>
      </c>
      <c r="AD73" s="109"/>
      <c r="AE73" s="114">
        <f t="shared" si="25"/>
        <v>0</v>
      </c>
      <c r="AF73" s="112">
        <f t="shared" si="26"/>
        <v>0</v>
      </c>
      <c r="AG73" s="115">
        <f t="shared" si="27"/>
        <v>29.4</v>
      </c>
      <c r="AH73" s="114">
        <v>175</v>
      </c>
      <c r="AI73" s="114">
        <v>200</v>
      </c>
      <c r="AJ73" s="114">
        <v>840</v>
      </c>
      <c r="AK73" s="114">
        <v>700</v>
      </c>
      <c r="AL73" s="115">
        <f t="shared" si="28"/>
        <v>117.6</v>
      </c>
      <c r="AM73" s="115">
        <f t="shared" si="29"/>
        <v>51.050159999999998</v>
      </c>
      <c r="AN73" s="116">
        <f t="shared" si="30"/>
        <v>140000</v>
      </c>
      <c r="AO73" s="116">
        <f t="shared" si="31"/>
        <v>35000</v>
      </c>
      <c r="AP73" s="117">
        <f t="shared" si="32"/>
        <v>0.70100000000000007</v>
      </c>
      <c r="AQ73" s="118">
        <f t="shared" si="33"/>
        <v>2.8040000000000003</v>
      </c>
      <c r="AR73" s="119" t="s">
        <v>783</v>
      </c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</row>
    <row r="74" spans="1:147" s="59" customFormat="1" ht="12.5" hidden="1">
      <c r="A74" s="103" t="s">
        <v>483</v>
      </c>
      <c r="B74" s="103" t="s">
        <v>670</v>
      </c>
      <c r="C74" s="104" t="s">
        <v>362</v>
      </c>
      <c r="D74" s="33">
        <v>1</v>
      </c>
      <c r="E74" s="34" t="s">
        <v>740</v>
      </c>
      <c r="F74" s="35"/>
      <c r="G74" s="36">
        <v>2381</v>
      </c>
      <c r="H74" s="35"/>
      <c r="I74" s="35"/>
      <c r="J74" s="37">
        <v>288</v>
      </c>
      <c r="K74" s="105" t="s">
        <v>143</v>
      </c>
      <c r="L74" s="105" t="s">
        <v>146</v>
      </c>
      <c r="M74" s="106" t="s">
        <v>575</v>
      </c>
      <c r="N74" s="105" t="s">
        <v>609</v>
      </c>
      <c r="O74" s="105" t="s">
        <v>760</v>
      </c>
      <c r="P74" s="107">
        <v>0</v>
      </c>
      <c r="Q74" s="108" t="s">
        <v>25</v>
      </c>
      <c r="R74" s="108" t="s">
        <v>26</v>
      </c>
      <c r="S74" s="106">
        <v>2032</v>
      </c>
      <c r="T74" s="109">
        <v>48579</v>
      </c>
      <c r="U74" s="110">
        <v>0.44</v>
      </c>
      <c r="V74" s="110">
        <v>0.32</v>
      </c>
      <c r="W74" s="111">
        <f t="shared" si="23"/>
        <v>0.76</v>
      </c>
      <c r="X74" s="110">
        <v>7.0000000000000007E-2</v>
      </c>
      <c r="Y74" s="110">
        <v>9.5000000000000001E-2</v>
      </c>
      <c r="Z74" s="110">
        <v>6.8000000000000005E-2</v>
      </c>
      <c r="AA74" s="112">
        <v>0.19800000000000001</v>
      </c>
      <c r="AB74" s="110">
        <v>0.24</v>
      </c>
      <c r="AC74" s="113">
        <f t="shared" si="24"/>
        <v>232500</v>
      </c>
      <c r="AD74" s="109"/>
      <c r="AE74" s="114">
        <f t="shared" si="25"/>
        <v>0</v>
      </c>
      <c r="AF74" s="112">
        <f t="shared" si="26"/>
        <v>0</v>
      </c>
      <c r="AG74" s="115">
        <f t="shared" si="27"/>
        <v>40.6875</v>
      </c>
      <c r="AH74" s="114">
        <v>175</v>
      </c>
      <c r="AI74" s="114">
        <v>180</v>
      </c>
      <c r="AJ74" s="114">
        <v>1291.6666666666667</v>
      </c>
      <c r="AK74" s="114">
        <v>700</v>
      </c>
      <c r="AL74" s="115">
        <f t="shared" si="28"/>
        <v>162.75</v>
      </c>
      <c r="AM74" s="115">
        <f t="shared" si="29"/>
        <v>71.61</v>
      </c>
      <c r="AN74" s="116">
        <f t="shared" si="30"/>
        <v>126000</v>
      </c>
      <c r="AO74" s="116">
        <f t="shared" si="31"/>
        <v>31500</v>
      </c>
      <c r="AP74" s="117">
        <f t="shared" si="32"/>
        <v>0.67999999999999994</v>
      </c>
      <c r="AQ74" s="118">
        <f t="shared" si="33"/>
        <v>2.7199999999999998</v>
      </c>
      <c r="AR74" s="119" t="s">
        <v>783</v>
      </c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</row>
    <row r="75" spans="1:147" s="120" customFormat="1" ht="12.5" hidden="1">
      <c r="A75" s="103" t="s">
        <v>500</v>
      </c>
      <c r="B75" s="103" t="s">
        <v>693</v>
      </c>
      <c r="C75" s="104" t="s">
        <v>348</v>
      </c>
      <c r="D75" s="33">
        <v>1</v>
      </c>
      <c r="E75" s="34" t="s">
        <v>740</v>
      </c>
      <c r="F75" s="35"/>
      <c r="G75" s="36">
        <v>2383</v>
      </c>
      <c r="H75" s="35"/>
      <c r="I75" s="35"/>
      <c r="J75" s="37">
        <v>316</v>
      </c>
      <c r="K75" s="105" t="s">
        <v>143</v>
      </c>
      <c r="L75" s="105" t="s">
        <v>728</v>
      </c>
      <c r="M75" s="106" t="s">
        <v>575</v>
      </c>
      <c r="N75" s="105" t="s">
        <v>626</v>
      </c>
      <c r="O75" s="105" t="s">
        <v>760</v>
      </c>
      <c r="P75" s="107">
        <v>0</v>
      </c>
      <c r="Q75" s="108" t="s">
        <v>25</v>
      </c>
      <c r="R75" s="108" t="s">
        <v>26</v>
      </c>
      <c r="S75" s="106">
        <v>2032</v>
      </c>
      <c r="T75" s="109">
        <v>48395</v>
      </c>
      <c r="U75" s="110">
        <v>0.64800000000000002</v>
      </c>
      <c r="V75" s="110">
        <v>0.18999999999999995</v>
      </c>
      <c r="W75" s="111">
        <f t="shared" si="23"/>
        <v>0.83799999999999997</v>
      </c>
      <c r="X75" s="110">
        <v>7.0000000000000007E-2</v>
      </c>
      <c r="Y75" s="110">
        <v>0.08</v>
      </c>
      <c r="Z75" s="110">
        <v>6.8000000000000005E-2</v>
      </c>
      <c r="AA75" s="112">
        <v>0.19800000000000001</v>
      </c>
      <c r="AB75" s="110">
        <v>0.16200000000000003</v>
      </c>
      <c r="AC75" s="113">
        <f t="shared" si="24"/>
        <v>269500</v>
      </c>
      <c r="AD75" s="109"/>
      <c r="AE75" s="114">
        <f t="shared" si="25"/>
        <v>0</v>
      </c>
      <c r="AF75" s="112">
        <f t="shared" si="26"/>
        <v>0</v>
      </c>
      <c r="AG75" s="115">
        <f t="shared" si="27"/>
        <v>47.162500000000001</v>
      </c>
      <c r="AH75" s="114">
        <v>175</v>
      </c>
      <c r="AI75" s="114">
        <v>245</v>
      </c>
      <c r="AJ75" s="114">
        <v>1100</v>
      </c>
      <c r="AK75" s="114">
        <v>550</v>
      </c>
      <c r="AL75" s="115">
        <f t="shared" si="28"/>
        <v>148.22499999999999</v>
      </c>
      <c r="AM75" s="115">
        <f t="shared" si="29"/>
        <v>96.049800000000005</v>
      </c>
      <c r="AN75" s="116">
        <f t="shared" si="30"/>
        <v>134750</v>
      </c>
      <c r="AO75" s="116">
        <f t="shared" si="31"/>
        <v>42875</v>
      </c>
      <c r="AP75" s="117">
        <f t="shared" si="32"/>
        <v>0.81</v>
      </c>
      <c r="AQ75" s="118">
        <f t="shared" si="33"/>
        <v>2.5457142857142858</v>
      </c>
      <c r="AR75" s="119" t="s">
        <v>783</v>
      </c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</row>
    <row r="76" spans="1:147" s="59" customFormat="1" ht="12.5" hidden="1">
      <c r="A76" s="62" t="s">
        <v>501</v>
      </c>
      <c r="B76" s="62" t="s">
        <v>695</v>
      </c>
      <c r="C76" s="63" t="s">
        <v>347</v>
      </c>
      <c r="D76" s="64">
        <v>1</v>
      </c>
      <c r="E76" s="65" t="s">
        <v>739</v>
      </c>
      <c r="F76" s="61"/>
      <c r="G76" s="66">
        <v>2391</v>
      </c>
      <c r="H76" s="61"/>
      <c r="I76" s="61"/>
      <c r="J76" s="60">
        <v>319</v>
      </c>
      <c r="K76" s="77" t="s">
        <v>143</v>
      </c>
      <c r="L76" s="77" t="s">
        <v>154</v>
      </c>
      <c r="M76" s="78" t="s">
        <v>568</v>
      </c>
      <c r="N76" s="77" t="s">
        <v>590</v>
      </c>
      <c r="O76" s="77" t="s">
        <v>760</v>
      </c>
      <c r="P76" s="79">
        <v>0</v>
      </c>
      <c r="Q76" s="80" t="s">
        <v>25</v>
      </c>
      <c r="R76" s="80" t="s">
        <v>26</v>
      </c>
      <c r="S76" s="78">
        <v>2032</v>
      </c>
      <c r="T76" s="81">
        <v>48487</v>
      </c>
      <c r="U76" s="82">
        <v>0.6</v>
      </c>
      <c r="V76" s="82">
        <v>0.25</v>
      </c>
      <c r="W76" s="83">
        <f t="shared" si="23"/>
        <v>0.85</v>
      </c>
      <c r="X76" s="82">
        <v>7.0000000000000007E-2</v>
      </c>
      <c r="Y76" s="82">
        <v>7.0000000000000007E-2</v>
      </c>
      <c r="Z76" s="82">
        <v>6.8000000000000005E-2</v>
      </c>
      <c r="AA76" s="84">
        <v>0.19800000000000001</v>
      </c>
      <c r="AB76" s="82">
        <v>0.15000000000000002</v>
      </c>
      <c r="AC76" s="85">
        <f t="shared" si="24"/>
        <v>283242.12288786483</v>
      </c>
      <c r="AD76" s="81"/>
      <c r="AE76" s="86">
        <f t="shared" si="25"/>
        <v>0</v>
      </c>
      <c r="AF76" s="84">
        <f t="shared" si="26"/>
        <v>0</v>
      </c>
      <c r="AG76" s="87">
        <f t="shared" si="27"/>
        <v>49.567371505376343</v>
      </c>
      <c r="AH76" s="86">
        <v>175</v>
      </c>
      <c r="AI76" s="86">
        <v>224.97388632872503</v>
      </c>
      <c r="AJ76" s="86">
        <v>1259</v>
      </c>
      <c r="AK76" s="86">
        <v>550</v>
      </c>
      <c r="AL76" s="87">
        <f t="shared" si="28"/>
        <v>155.78316758832565</v>
      </c>
      <c r="AM76" s="87">
        <f t="shared" si="29"/>
        <v>93.469900552995384</v>
      </c>
      <c r="AN76" s="88">
        <f t="shared" si="30"/>
        <v>123735.63748079876</v>
      </c>
      <c r="AO76" s="88">
        <f t="shared" si="31"/>
        <v>39370.430107526881</v>
      </c>
      <c r="AP76" s="89">
        <f t="shared" si="32"/>
        <v>0.75</v>
      </c>
      <c r="AQ76" s="90">
        <f t="shared" si="33"/>
        <v>2.3571428571428572</v>
      </c>
      <c r="AR76" s="91" t="s">
        <v>783</v>
      </c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</row>
    <row r="77" spans="1:147" s="120" customFormat="1" ht="13" hidden="1">
      <c r="A77" s="103" t="s">
        <v>428</v>
      </c>
      <c r="B77" s="103" t="s">
        <v>210</v>
      </c>
      <c r="C77" s="104" t="s">
        <v>327</v>
      </c>
      <c r="D77" s="33">
        <v>1</v>
      </c>
      <c r="E77" s="34" t="s">
        <v>740</v>
      </c>
      <c r="F77" s="35"/>
      <c r="G77" s="36" t="s">
        <v>753</v>
      </c>
      <c r="H77" s="35"/>
      <c r="I77" s="35"/>
      <c r="J77" s="37">
        <v>166</v>
      </c>
      <c r="K77" s="105" t="s">
        <v>53</v>
      </c>
      <c r="L77" s="105" t="s">
        <v>54</v>
      </c>
      <c r="M77" s="106" t="s">
        <v>568</v>
      </c>
      <c r="N77" s="121" t="s">
        <v>60</v>
      </c>
      <c r="O77" s="105" t="s">
        <v>756</v>
      </c>
      <c r="P77" s="107">
        <v>2781250</v>
      </c>
      <c r="Q77" s="108" t="s">
        <v>25</v>
      </c>
      <c r="R77" s="108" t="s">
        <v>26</v>
      </c>
      <c r="S77" s="106">
        <v>2032</v>
      </c>
      <c r="T77" s="109">
        <v>48579</v>
      </c>
      <c r="U77" s="110">
        <v>0.36959999999999998</v>
      </c>
      <c r="V77" s="110"/>
      <c r="W77" s="111">
        <f t="shared" si="23"/>
        <v>0.36959999999999998</v>
      </c>
      <c r="X77" s="110"/>
      <c r="Y77" s="110"/>
      <c r="Z77" s="110"/>
      <c r="AA77" s="112">
        <v>0.19800000000000001</v>
      </c>
      <c r="AB77" s="110">
        <v>0.63040000000000007</v>
      </c>
      <c r="AC77" s="113">
        <f t="shared" si="24"/>
        <v>202400</v>
      </c>
      <c r="AD77" s="109"/>
      <c r="AE77" s="114">
        <f t="shared" si="25"/>
        <v>2.78125</v>
      </c>
      <c r="AF77" s="112">
        <f t="shared" si="26"/>
        <v>2.4984279554437657E-2</v>
      </c>
      <c r="AG77" s="115">
        <f t="shared" si="27"/>
        <v>25.9072</v>
      </c>
      <c r="AH77" s="114">
        <v>128</v>
      </c>
      <c r="AI77" s="114">
        <v>275</v>
      </c>
      <c r="AJ77" s="114">
        <v>736</v>
      </c>
      <c r="AK77" s="114">
        <v>550</v>
      </c>
      <c r="AL77" s="115">
        <f t="shared" si="28"/>
        <v>111.32</v>
      </c>
      <c r="AM77" s="115">
        <f t="shared" si="29"/>
        <v>41.143871999999995</v>
      </c>
      <c r="AN77" s="116">
        <f t="shared" si="30"/>
        <v>151250</v>
      </c>
      <c r="AO77" s="116">
        <f t="shared" si="31"/>
        <v>35200</v>
      </c>
      <c r="AP77" s="117">
        <f t="shared" si="32"/>
        <v>1</v>
      </c>
      <c r="AQ77" s="118">
        <f t="shared" si="33"/>
        <v>3.8803072316559448</v>
      </c>
      <c r="AR77" s="119" t="s">
        <v>783</v>
      </c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</row>
    <row r="78" spans="1:147" s="59" customFormat="1" ht="12.5" hidden="1">
      <c r="A78" s="62" t="s">
        <v>508</v>
      </c>
      <c r="B78" s="62" t="s">
        <v>283</v>
      </c>
      <c r="C78" s="63" t="s">
        <v>343</v>
      </c>
      <c r="D78" s="64">
        <v>1</v>
      </c>
      <c r="E78" s="65" t="s">
        <v>740</v>
      </c>
      <c r="F78" s="61"/>
      <c r="G78" s="66">
        <v>2106</v>
      </c>
      <c r="H78" s="61"/>
      <c r="I78" s="61"/>
      <c r="J78" s="60">
        <v>328</v>
      </c>
      <c r="K78" s="77" t="s">
        <v>159</v>
      </c>
      <c r="L78" s="94" t="s">
        <v>160</v>
      </c>
      <c r="M78" s="95" t="s">
        <v>576</v>
      </c>
      <c r="N78" s="94" t="s">
        <v>46</v>
      </c>
      <c r="O78" s="77" t="s">
        <v>756</v>
      </c>
      <c r="P78" s="79">
        <v>1436252.3</v>
      </c>
      <c r="Q78" s="80" t="s">
        <v>25</v>
      </c>
      <c r="R78" s="80" t="s">
        <v>26</v>
      </c>
      <c r="S78" s="78">
        <v>2033</v>
      </c>
      <c r="T78" s="81">
        <v>48760</v>
      </c>
      <c r="U78" s="82">
        <v>0.7</v>
      </c>
      <c r="V78" s="82">
        <v>0.30000000000000004</v>
      </c>
      <c r="W78" s="83">
        <f t="shared" si="23"/>
        <v>1</v>
      </c>
      <c r="X78" s="82">
        <v>0.05</v>
      </c>
      <c r="Y78" s="82">
        <v>9.0000000000000011E-2</v>
      </c>
      <c r="Z78" s="82">
        <v>6.8000000000000005E-2</v>
      </c>
      <c r="AA78" s="84">
        <v>0.19800000000000001</v>
      </c>
      <c r="AB78" s="82"/>
      <c r="AC78" s="96">
        <f t="shared" si="24"/>
        <v>232066.42500000002</v>
      </c>
      <c r="AD78" s="81"/>
      <c r="AE78" s="86">
        <f t="shared" si="25"/>
        <v>1.4362523</v>
      </c>
      <c r="AF78" s="84">
        <f t="shared" si="26"/>
        <v>1.2377941358815689E-2</v>
      </c>
      <c r="AG78" s="87">
        <f t="shared" si="27"/>
        <v>37.130628000000009</v>
      </c>
      <c r="AH78" s="86">
        <v>160</v>
      </c>
      <c r="AI78" s="86">
        <v>270.15881839348083</v>
      </c>
      <c r="AJ78" s="86">
        <v>859</v>
      </c>
      <c r="AK78" s="86">
        <v>500.00000000000006</v>
      </c>
      <c r="AL78" s="87">
        <f t="shared" si="28"/>
        <v>116.03321250000003</v>
      </c>
      <c r="AM78" s="87">
        <f t="shared" si="29"/>
        <v>81.223248750000025</v>
      </c>
      <c r="AN78" s="88">
        <f t="shared" si="30"/>
        <v>135079.40919674042</v>
      </c>
      <c r="AO78" s="88">
        <f t="shared" si="31"/>
        <v>43225.410942956936</v>
      </c>
      <c r="AP78" s="89">
        <f t="shared" si="32"/>
        <v>0.7</v>
      </c>
      <c r="AQ78" s="90">
        <f t="shared" si="33"/>
        <v>2.1060362704525004</v>
      </c>
      <c r="AR78" s="91" t="s">
        <v>783</v>
      </c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</row>
    <row r="79" spans="1:147" s="120" customFormat="1" ht="12.5" hidden="1">
      <c r="A79" s="103" t="s">
        <v>464</v>
      </c>
      <c r="B79" s="103" t="s">
        <v>629</v>
      </c>
      <c r="C79" s="104" t="s">
        <v>377</v>
      </c>
      <c r="D79" s="33">
        <v>1</v>
      </c>
      <c r="E79" s="34" t="s">
        <v>740</v>
      </c>
      <c r="F79" s="35"/>
      <c r="G79" s="36">
        <v>2277</v>
      </c>
      <c r="H79" s="35"/>
      <c r="I79" s="35"/>
      <c r="J79" s="37">
        <v>242</v>
      </c>
      <c r="K79" s="105" t="s">
        <v>103</v>
      </c>
      <c r="L79" s="105" t="s">
        <v>120</v>
      </c>
      <c r="M79" s="106" t="s">
        <v>583</v>
      </c>
      <c r="N79" s="105" t="s">
        <v>121</v>
      </c>
      <c r="O79" s="105" t="s">
        <v>760</v>
      </c>
      <c r="P79" s="107">
        <v>0</v>
      </c>
      <c r="Q79" s="108" t="s">
        <v>25</v>
      </c>
      <c r="R79" s="108" t="s">
        <v>26</v>
      </c>
      <c r="S79" s="106">
        <v>2033</v>
      </c>
      <c r="T79" s="109">
        <v>48943</v>
      </c>
      <c r="U79" s="110">
        <v>0.55000000000000004</v>
      </c>
      <c r="V79" s="110">
        <v>0.40001999999999993</v>
      </c>
      <c r="W79" s="111">
        <f t="shared" si="23"/>
        <v>0.95001999999999998</v>
      </c>
      <c r="X79" s="110">
        <v>0.05</v>
      </c>
      <c r="Y79" s="110">
        <v>9.0000000000000011E-2</v>
      </c>
      <c r="Z79" s="110">
        <v>6.8000000000000005E-2</v>
      </c>
      <c r="AA79" s="112">
        <v>0.19800000000000001</v>
      </c>
      <c r="AB79" s="110">
        <v>4.9980000000000024E-2</v>
      </c>
      <c r="AC79" s="113">
        <f t="shared" si="24"/>
        <v>315000</v>
      </c>
      <c r="AD79" s="109"/>
      <c r="AE79" s="114">
        <f t="shared" si="25"/>
        <v>0</v>
      </c>
      <c r="AF79" s="112">
        <f t="shared" si="26"/>
        <v>0</v>
      </c>
      <c r="AG79" s="115">
        <f t="shared" si="27"/>
        <v>51.344999999999999</v>
      </c>
      <c r="AH79" s="114">
        <v>163</v>
      </c>
      <c r="AI79" s="114">
        <v>210</v>
      </c>
      <c r="AJ79" s="114">
        <v>1500</v>
      </c>
      <c r="AK79" s="114">
        <v>550</v>
      </c>
      <c r="AL79" s="115">
        <f t="shared" si="28"/>
        <v>173.25</v>
      </c>
      <c r="AM79" s="115">
        <f t="shared" si="29"/>
        <v>95.287500000000009</v>
      </c>
      <c r="AN79" s="116">
        <f t="shared" si="30"/>
        <v>115500</v>
      </c>
      <c r="AO79" s="116">
        <f t="shared" si="31"/>
        <v>34230</v>
      </c>
      <c r="AP79" s="117">
        <f t="shared" si="32"/>
        <v>0.59998000000000007</v>
      </c>
      <c r="AQ79" s="118">
        <f t="shared" si="33"/>
        <v>2.024472392638037</v>
      </c>
      <c r="AR79" s="119" t="s">
        <v>783</v>
      </c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</row>
    <row r="80" spans="1:147" s="59" customFormat="1" ht="12.5" hidden="1">
      <c r="A80" s="103" t="s">
        <v>456</v>
      </c>
      <c r="B80" s="103" t="s">
        <v>643</v>
      </c>
      <c r="C80" s="104" t="s">
        <v>382</v>
      </c>
      <c r="D80" s="33">
        <v>1</v>
      </c>
      <c r="E80" s="34" t="s">
        <v>740</v>
      </c>
      <c r="F80" s="35"/>
      <c r="G80" s="36">
        <v>2278</v>
      </c>
      <c r="H80" s="35"/>
      <c r="I80" s="35"/>
      <c r="J80" s="37">
        <v>230</v>
      </c>
      <c r="K80" s="105" t="s">
        <v>103</v>
      </c>
      <c r="L80" s="105" t="s">
        <v>582</v>
      </c>
      <c r="M80" s="106" t="s">
        <v>574</v>
      </c>
      <c r="N80" s="105" t="s">
        <v>47</v>
      </c>
      <c r="O80" s="105" t="s">
        <v>760</v>
      </c>
      <c r="P80" s="107">
        <v>0</v>
      </c>
      <c r="Q80" s="108" t="s">
        <v>25</v>
      </c>
      <c r="R80" s="108" t="s">
        <v>26</v>
      </c>
      <c r="S80" s="106">
        <v>2033</v>
      </c>
      <c r="T80" s="109">
        <v>48944</v>
      </c>
      <c r="U80" s="110">
        <v>0.59585500000000002</v>
      </c>
      <c r="V80" s="110">
        <v>0.35</v>
      </c>
      <c r="W80" s="111">
        <f t="shared" si="23"/>
        <v>0.945855</v>
      </c>
      <c r="X80" s="110">
        <v>0.05</v>
      </c>
      <c r="Y80" s="110">
        <v>9.0000000000000011E-2</v>
      </c>
      <c r="Z80" s="110">
        <v>6.8000000000000005E-2</v>
      </c>
      <c r="AA80" s="112">
        <v>0.19800000000000001</v>
      </c>
      <c r="AB80" s="110">
        <v>5.4144999999999999E-2</v>
      </c>
      <c r="AC80" s="113">
        <f t="shared" si="24"/>
        <v>220800</v>
      </c>
      <c r="AD80" s="109"/>
      <c r="AE80" s="114">
        <f t="shared" si="25"/>
        <v>0</v>
      </c>
      <c r="AF80" s="112">
        <f t="shared" si="26"/>
        <v>0</v>
      </c>
      <c r="AG80" s="115">
        <f t="shared" si="27"/>
        <v>35.990400000000001</v>
      </c>
      <c r="AH80" s="114">
        <v>163</v>
      </c>
      <c r="AI80" s="114">
        <v>276</v>
      </c>
      <c r="AJ80" s="114">
        <v>800</v>
      </c>
      <c r="AK80" s="114">
        <v>650</v>
      </c>
      <c r="AL80" s="115">
        <f t="shared" si="28"/>
        <v>143.52000000000001</v>
      </c>
      <c r="AM80" s="115">
        <f t="shared" si="29"/>
        <v>85.517109600000012</v>
      </c>
      <c r="AN80" s="116">
        <f t="shared" si="30"/>
        <v>179400</v>
      </c>
      <c r="AO80" s="116">
        <f t="shared" si="31"/>
        <v>44988</v>
      </c>
      <c r="AP80" s="117">
        <f t="shared" si="32"/>
        <v>0.65</v>
      </c>
      <c r="AQ80" s="118">
        <f t="shared" si="33"/>
        <v>2.592024539877301</v>
      </c>
      <c r="AR80" s="119" t="s">
        <v>783</v>
      </c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</row>
    <row r="81" spans="1:16374" s="120" customFormat="1" ht="12.5" hidden="1">
      <c r="A81" s="103" t="s">
        <v>466</v>
      </c>
      <c r="B81" s="103" t="s">
        <v>266</v>
      </c>
      <c r="C81" s="104" t="s">
        <v>376</v>
      </c>
      <c r="D81" s="33">
        <v>1</v>
      </c>
      <c r="E81" s="34" t="s">
        <v>740</v>
      </c>
      <c r="F81" s="35"/>
      <c r="G81" s="36">
        <v>2286</v>
      </c>
      <c r="H81" s="35"/>
      <c r="I81" s="35"/>
      <c r="J81" s="37">
        <v>253</v>
      </c>
      <c r="K81" s="105" t="s">
        <v>103</v>
      </c>
      <c r="L81" s="105" t="s">
        <v>124</v>
      </c>
      <c r="M81" s="106" t="s">
        <v>583</v>
      </c>
      <c r="N81" s="105" t="s">
        <v>48</v>
      </c>
      <c r="O81" s="105" t="s">
        <v>760</v>
      </c>
      <c r="P81" s="107">
        <v>0</v>
      </c>
      <c r="Q81" s="108" t="s">
        <v>25</v>
      </c>
      <c r="R81" s="108" t="s">
        <v>26</v>
      </c>
      <c r="S81" s="106">
        <v>2033</v>
      </c>
      <c r="T81" s="109">
        <v>48760</v>
      </c>
      <c r="U81" s="110">
        <v>0.45</v>
      </c>
      <c r="V81" s="110">
        <v>0.5</v>
      </c>
      <c r="W81" s="111">
        <f t="shared" si="23"/>
        <v>0.95</v>
      </c>
      <c r="X81" s="110">
        <v>0.05</v>
      </c>
      <c r="Y81" s="110">
        <v>9.0000000000000011E-2</v>
      </c>
      <c r="Z81" s="110">
        <v>6.8000000000000005E-2</v>
      </c>
      <c r="AA81" s="112">
        <v>0.19800000000000001</v>
      </c>
      <c r="AB81" s="110">
        <v>5.0000000000000044E-2</v>
      </c>
      <c r="AC81" s="113">
        <f t="shared" si="24"/>
        <v>308574.72199999995</v>
      </c>
      <c r="AD81" s="109"/>
      <c r="AE81" s="114">
        <f t="shared" si="25"/>
        <v>0</v>
      </c>
      <c r="AF81" s="112">
        <f t="shared" si="26"/>
        <v>0</v>
      </c>
      <c r="AG81" s="115">
        <f t="shared" si="27"/>
        <v>50.297679685999995</v>
      </c>
      <c r="AH81" s="114">
        <v>163</v>
      </c>
      <c r="AI81" s="114">
        <v>299.00651356589145</v>
      </c>
      <c r="AJ81" s="114">
        <v>1032</v>
      </c>
      <c r="AK81" s="114">
        <v>732</v>
      </c>
      <c r="AL81" s="115">
        <f t="shared" si="28"/>
        <v>225.87669650399997</v>
      </c>
      <c r="AM81" s="115">
        <f t="shared" si="29"/>
        <v>101.64451342679999</v>
      </c>
      <c r="AN81" s="116">
        <f t="shared" si="30"/>
        <v>218872.76793023254</v>
      </c>
      <c r="AO81" s="116">
        <f t="shared" si="31"/>
        <v>48738.061711240305</v>
      </c>
      <c r="AP81" s="117">
        <f t="shared" si="32"/>
        <v>0.5</v>
      </c>
      <c r="AQ81" s="118">
        <f t="shared" si="33"/>
        <v>2.2453987730061349</v>
      </c>
      <c r="AR81" s="119" t="s">
        <v>783</v>
      </c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</row>
    <row r="82" spans="1:16374" s="59" customFormat="1" ht="12.5" hidden="1">
      <c r="A82" s="62" t="s">
        <v>483</v>
      </c>
      <c r="B82" s="62" t="s">
        <v>667</v>
      </c>
      <c r="C82" s="63" t="s">
        <v>362</v>
      </c>
      <c r="D82" s="64">
        <v>1</v>
      </c>
      <c r="E82" s="65" t="s">
        <v>740</v>
      </c>
      <c r="F82" s="61"/>
      <c r="G82" s="66">
        <v>2381</v>
      </c>
      <c r="H82" s="61"/>
      <c r="I82" s="61"/>
      <c r="J82" s="60">
        <v>283</v>
      </c>
      <c r="K82" s="77" t="s">
        <v>143</v>
      </c>
      <c r="L82" s="77" t="s">
        <v>146</v>
      </c>
      <c r="M82" s="78" t="s">
        <v>575</v>
      </c>
      <c r="N82" s="77" t="s">
        <v>601</v>
      </c>
      <c r="O82" s="77" t="s">
        <v>760</v>
      </c>
      <c r="P82" s="79">
        <v>0</v>
      </c>
      <c r="Q82" s="80" t="s">
        <v>73</v>
      </c>
      <c r="R82" s="80" t="s">
        <v>759</v>
      </c>
      <c r="S82" s="78">
        <v>2033</v>
      </c>
      <c r="T82" s="81">
        <v>48944</v>
      </c>
      <c r="U82" s="82">
        <v>0.43409999999999999</v>
      </c>
      <c r="V82" s="82">
        <v>0.45740000000000003</v>
      </c>
      <c r="W82" s="83">
        <f t="shared" si="23"/>
        <v>0.89149999999999996</v>
      </c>
      <c r="X82" s="82">
        <v>7.0000000000000007E-2</v>
      </c>
      <c r="Y82" s="82">
        <v>0.06</v>
      </c>
      <c r="Z82" s="82">
        <v>6.8000000000000005E-2</v>
      </c>
      <c r="AA82" s="84">
        <v>0.19800000000000001</v>
      </c>
      <c r="AB82" s="82">
        <v>0.10850000000000004</v>
      </c>
      <c r="AC82" s="85">
        <f t="shared" si="24"/>
        <v>132000</v>
      </c>
      <c r="AD82" s="81"/>
      <c r="AE82" s="86">
        <f t="shared" si="25"/>
        <v>0</v>
      </c>
      <c r="AF82" s="84">
        <f t="shared" si="26"/>
        <v>0</v>
      </c>
      <c r="AG82" s="87">
        <f t="shared" si="27"/>
        <v>39.6</v>
      </c>
      <c r="AH82" s="86">
        <v>300</v>
      </c>
      <c r="AI82" s="86">
        <v>184.87394957983193</v>
      </c>
      <c r="AJ82" s="86">
        <v>714</v>
      </c>
      <c r="AK82" s="86">
        <v>1200</v>
      </c>
      <c r="AL82" s="87">
        <f t="shared" si="28"/>
        <v>158.4</v>
      </c>
      <c r="AM82" s="87">
        <f t="shared" si="29"/>
        <v>68.761439999999993</v>
      </c>
      <c r="AN82" s="88">
        <f t="shared" si="30"/>
        <v>221848.73949579831</v>
      </c>
      <c r="AO82" s="88">
        <f t="shared" si="31"/>
        <v>55462.184873949576</v>
      </c>
      <c r="AP82" s="89">
        <f t="shared" si="32"/>
        <v>0.54259999999999997</v>
      </c>
      <c r="AQ82" s="90">
        <f t="shared" si="33"/>
        <v>2.1703999999999999</v>
      </c>
      <c r="AR82" s="91" t="s">
        <v>783</v>
      </c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</row>
    <row r="83" spans="1:16374" s="120" customFormat="1" ht="12.5" hidden="1">
      <c r="A83" s="62" t="s">
        <v>484</v>
      </c>
      <c r="B83" s="62" t="s">
        <v>673</v>
      </c>
      <c r="C83" s="63" t="s">
        <v>361</v>
      </c>
      <c r="D83" s="64">
        <v>1</v>
      </c>
      <c r="E83" s="65" t="s">
        <v>740</v>
      </c>
      <c r="F83" s="61"/>
      <c r="G83" s="66">
        <v>2381</v>
      </c>
      <c r="H83" s="61"/>
      <c r="I83" s="61"/>
      <c r="J83" s="60">
        <v>291</v>
      </c>
      <c r="K83" s="77" t="s">
        <v>143</v>
      </c>
      <c r="L83" s="77" t="s">
        <v>146</v>
      </c>
      <c r="M83" s="78" t="s">
        <v>575</v>
      </c>
      <c r="N83" s="77" t="s">
        <v>619</v>
      </c>
      <c r="O83" s="77" t="s">
        <v>760</v>
      </c>
      <c r="P83" s="79">
        <v>0</v>
      </c>
      <c r="Q83" s="80" t="s">
        <v>25</v>
      </c>
      <c r="R83" s="80" t="s">
        <v>759</v>
      </c>
      <c r="S83" s="78">
        <v>2033</v>
      </c>
      <c r="T83" s="81">
        <v>48944</v>
      </c>
      <c r="U83" s="82">
        <v>0.32800000000000001</v>
      </c>
      <c r="V83" s="82">
        <v>0.18</v>
      </c>
      <c r="W83" s="83">
        <f t="shared" si="23"/>
        <v>0.50800000000000001</v>
      </c>
      <c r="X83" s="82">
        <v>7.0000000000000007E-2</v>
      </c>
      <c r="Y83" s="82">
        <v>7.0000000000000007E-2</v>
      </c>
      <c r="Z83" s="82">
        <v>6.8000000000000005E-2</v>
      </c>
      <c r="AA83" s="84">
        <v>0.19800000000000001</v>
      </c>
      <c r="AB83" s="82">
        <v>0.49199999999999999</v>
      </c>
      <c r="AC83" s="85">
        <f t="shared" si="24"/>
        <v>98136</v>
      </c>
      <c r="AD83" s="81"/>
      <c r="AE83" s="86">
        <f t="shared" si="25"/>
        <v>0</v>
      </c>
      <c r="AF83" s="84">
        <f t="shared" si="26"/>
        <v>0</v>
      </c>
      <c r="AG83" s="87">
        <f t="shared" si="27"/>
        <v>17.1738</v>
      </c>
      <c r="AH83" s="86">
        <v>175</v>
      </c>
      <c r="AI83" s="86">
        <v>185.1622641509434</v>
      </c>
      <c r="AJ83" s="86">
        <v>530</v>
      </c>
      <c r="AK83" s="86">
        <v>1300</v>
      </c>
      <c r="AL83" s="87">
        <f t="shared" si="28"/>
        <v>127.57680000000001</v>
      </c>
      <c r="AM83" s="87">
        <f t="shared" si="29"/>
        <v>41.845190400000007</v>
      </c>
      <c r="AN83" s="88">
        <f t="shared" si="30"/>
        <v>240710.94339622642</v>
      </c>
      <c r="AO83" s="88">
        <f t="shared" si="31"/>
        <v>32403.396226415094</v>
      </c>
      <c r="AP83" s="89">
        <f t="shared" si="32"/>
        <v>0.82000000000000006</v>
      </c>
      <c r="AQ83" s="90">
        <f t="shared" si="33"/>
        <v>6.0914285714285725</v>
      </c>
      <c r="AR83" s="91" t="s">
        <v>783</v>
      </c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</row>
    <row r="84" spans="1:16374" s="59" customFormat="1" ht="12.5" hidden="1">
      <c r="A84" s="103" t="s">
        <v>493</v>
      </c>
      <c r="B84" s="103" t="s">
        <v>687</v>
      </c>
      <c r="C84" s="104" t="s">
        <v>352</v>
      </c>
      <c r="D84" s="33">
        <v>1</v>
      </c>
      <c r="E84" s="34" t="s">
        <v>740</v>
      </c>
      <c r="F84" s="35"/>
      <c r="G84" s="36">
        <v>2373</v>
      </c>
      <c r="H84" s="35"/>
      <c r="I84" s="35"/>
      <c r="J84" s="37">
        <v>308</v>
      </c>
      <c r="K84" s="105" t="s">
        <v>143</v>
      </c>
      <c r="L84" s="105" t="s">
        <v>150</v>
      </c>
      <c r="M84" s="106" t="s">
        <v>575</v>
      </c>
      <c r="N84" s="105" t="s">
        <v>606</v>
      </c>
      <c r="O84" s="105" t="s">
        <v>760</v>
      </c>
      <c r="P84" s="107">
        <v>0</v>
      </c>
      <c r="Q84" s="108" t="s">
        <v>25</v>
      </c>
      <c r="R84" s="108" t="s">
        <v>26</v>
      </c>
      <c r="S84" s="106">
        <v>2033</v>
      </c>
      <c r="T84" s="109">
        <v>48760</v>
      </c>
      <c r="U84" s="110">
        <v>0.59179999999999999</v>
      </c>
      <c r="V84" s="110">
        <v>0.26029999999999998</v>
      </c>
      <c r="W84" s="111">
        <f t="shared" si="23"/>
        <v>0.85209999999999997</v>
      </c>
      <c r="X84" s="110">
        <v>7.0000000000000007E-2</v>
      </c>
      <c r="Y84" s="110">
        <v>9.5000000000000001E-2</v>
      </c>
      <c r="Z84" s="110">
        <v>6.8000000000000005E-2</v>
      </c>
      <c r="AA84" s="112">
        <v>0.19800000000000001</v>
      </c>
      <c r="AB84" s="110">
        <v>0.14790000000000003</v>
      </c>
      <c r="AC84" s="113">
        <f t="shared" si="24"/>
        <v>375000</v>
      </c>
      <c r="AD84" s="109"/>
      <c r="AE84" s="114">
        <f t="shared" si="25"/>
        <v>0</v>
      </c>
      <c r="AF84" s="112">
        <f t="shared" si="26"/>
        <v>0</v>
      </c>
      <c r="AG84" s="115">
        <f t="shared" si="27"/>
        <v>65.625</v>
      </c>
      <c r="AH84" s="114">
        <v>175</v>
      </c>
      <c r="AI84" s="114">
        <v>400</v>
      </c>
      <c r="AJ84" s="114">
        <v>937.5</v>
      </c>
      <c r="AK84" s="114">
        <v>750</v>
      </c>
      <c r="AL84" s="115">
        <f t="shared" si="28"/>
        <v>281.25</v>
      </c>
      <c r="AM84" s="115">
        <f t="shared" si="29"/>
        <v>166.44374999999999</v>
      </c>
      <c r="AN84" s="116">
        <f t="shared" si="30"/>
        <v>300000</v>
      </c>
      <c r="AO84" s="116">
        <f t="shared" si="31"/>
        <v>70000</v>
      </c>
      <c r="AP84" s="117">
        <f t="shared" si="32"/>
        <v>0.73970000000000002</v>
      </c>
      <c r="AQ84" s="118">
        <f t="shared" si="33"/>
        <v>3.1701428571428574</v>
      </c>
      <c r="AR84" s="119" t="s">
        <v>783</v>
      </c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</row>
    <row r="85" spans="1:16374" s="120" customFormat="1" ht="13" hidden="1">
      <c r="A85" s="62" t="s">
        <v>428</v>
      </c>
      <c r="B85" s="62" t="s">
        <v>211</v>
      </c>
      <c r="C85" s="63" t="s">
        <v>327</v>
      </c>
      <c r="D85" s="64">
        <v>1</v>
      </c>
      <c r="E85" s="65" t="s">
        <v>740</v>
      </c>
      <c r="F85" s="61"/>
      <c r="G85" s="66" t="s">
        <v>753</v>
      </c>
      <c r="H85" s="61"/>
      <c r="I85" s="61"/>
      <c r="J85" s="60">
        <v>167</v>
      </c>
      <c r="K85" s="77" t="s">
        <v>53</v>
      </c>
      <c r="L85" s="77" t="s">
        <v>54</v>
      </c>
      <c r="M85" s="78" t="s">
        <v>568</v>
      </c>
      <c r="N85" s="92" t="s">
        <v>61</v>
      </c>
      <c r="O85" s="77" t="s">
        <v>756</v>
      </c>
      <c r="P85" s="79">
        <v>2781250</v>
      </c>
      <c r="Q85" s="80" t="s">
        <v>25</v>
      </c>
      <c r="R85" s="80" t="s">
        <v>26</v>
      </c>
      <c r="S85" s="78">
        <v>2033</v>
      </c>
      <c r="T85" s="81">
        <v>48944</v>
      </c>
      <c r="U85" s="82">
        <v>0.36959999999999998</v>
      </c>
      <c r="V85" s="82"/>
      <c r="W85" s="83">
        <f t="shared" si="23"/>
        <v>0.36959999999999998</v>
      </c>
      <c r="X85" s="82"/>
      <c r="Y85" s="82"/>
      <c r="Z85" s="82"/>
      <c r="AA85" s="84">
        <v>0.19800000000000001</v>
      </c>
      <c r="AB85" s="82">
        <v>0.63040000000000007</v>
      </c>
      <c r="AC85" s="85">
        <f t="shared" si="24"/>
        <v>202400</v>
      </c>
      <c r="AD85" s="81"/>
      <c r="AE85" s="86">
        <f t="shared" si="25"/>
        <v>2.78125</v>
      </c>
      <c r="AF85" s="84">
        <f t="shared" si="26"/>
        <v>2.4984279554437657E-2</v>
      </c>
      <c r="AG85" s="87">
        <f t="shared" si="27"/>
        <v>25.9072</v>
      </c>
      <c r="AH85" s="86">
        <v>128</v>
      </c>
      <c r="AI85" s="86">
        <v>275</v>
      </c>
      <c r="AJ85" s="86">
        <v>736</v>
      </c>
      <c r="AK85" s="86">
        <v>550</v>
      </c>
      <c r="AL85" s="87">
        <f t="shared" si="28"/>
        <v>111.32</v>
      </c>
      <c r="AM85" s="87">
        <f t="shared" si="29"/>
        <v>41.143871999999995</v>
      </c>
      <c r="AN85" s="88">
        <f t="shared" si="30"/>
        <v>151250</v>
      </c>
      <c r="AO85" s="88">
        <f t="shared" si="31"/>
        <v>35200</v>
      </c>
      <c r="AP85" s="89">
        <f t="shared" si="32"/>
        <v>1</v>
      </c>
      <c r="AQ85" s="90">
        <f t="shared" si="33"/>
        <v>3.8803072316559448</v>
      </c>
      <c r="AR85" s="91" t="s">
        <v>783</v>
      </c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</row>
    <row r="86" spans="1:16374" s="59" customFormat="1" ht="12.5" hidden="1">
      <c r="A86" s="62" t="s">
        <v>426</v>
      </c>
      <c r="B86" s="62" t="s">
        <v>200</v>
      </c>
      <c r="C86" s="63" t="s">
        <v>324</v>
      </c>
      <c r="D86" s="64">
        <v>1</v>
      </c>
      <c r="E86" s="65" t="s">
        <v>740</v>
      </c>
      <c r="F86" s="61"/>
      <c r="G86" s="66">
        <v>2123</v>
      </c>
      <c r="H86" s="61"/>
      <c r="I86" s="61"/>
      <c r="J86" s="60">
        <v>156</v>
      </c>
      <c r="K86" s="77" t="s">
        <v>22</v>
      </c>
      <c r="L86" s="77" t="s">
        <v>44</v>
      </c>
      <c r="M86" s="78" t="s">
        <v>567</v>
      </c>
      <c r="N86" s="77" t="s">
        <v>48</v>
      </c>
      <c r="O86" s="77" t="s">
        <v>756</v>
      </c>
      <c r="P86" s="79">
        <v>114285.71</v>
      </c>
      <c r="Q86" s="80" t="s">
        <v>25</v>
      </c>
      <c r="R86" s="80" t="s">
        <v>759</v>
      </c>
      <c r="S86" s="78">
        <v>2034</v>
      </c>
      <c r="T86" s="81">
        <v>49309</v>
      </c>
      <c r="U86" s="82">
        <v>1</v>
      </c>
      <c r="V86" s="82"/>
      <c r="W86" s="83">
        <f t="shared" si="23"/>
        <v>1</v>
      </c>
      <c r="X86" s="82"/>
      <c r="Y86" s="82"/>
      <c r="Z86" s="82"/>
      <c r="AA86" s="84">
        <v>0.19800000000000001</v>
      </c>
      <c r="AB86" s="82"/>
      <c r="AC86" s="85">
        <f t="shared" si="24"/>
        <v>105000</v>
      </c>
      <c r="AD86" s="81"/>
      <c r="AE86" s="86">
        <f t="shared" si="25"/>
        <v>0.11428571000000001</v>
      </c>
      <c r="AF86" s="84">
        <f t="shared" si="26"/>
        <v>2.7908598290598292E-3</v>
      </c>
      <c r="AG86" s="87">
        <f t="shared" si="27"/>
        <v>13.9755</v>
      </c>
      <c r="AH86" s="86">
        <v>133.1</v>
      </c>
      <c r="AI86" s="86">
        <v>210</v>
      </c>
      <c r="AJ86" s="86">
        <v>500</v>
      </c>
      <c r="AK86" s="86">
        <v>390</v>
      </c>
      <c r="AL86" s="87">
        <f t="shared" si="28"/>
        <v>40.950000000000003</v>
      </c>
      <c r="AM86" s="87">
        <f t="shared" si="29"/>
        <v>40.950000000000003</v>
      </c>
      <c r="AN86" s="88">
        <f t="shared" si="30"/>
        <v>81900</v>
      </c>
      <c r="AO86" s="88">
        <f t="shared" si="31"/>
        <v>27951</v>
      </c>
      <c r="AP86" s="89">
        <f t="shared" si="32"/>
        <v>1</v>
      </c>
      <c r="AQ86" s="90">
        <f t="shared" si="33"/>
        <v>2.9063607383990511</v>
      </c>
      <c r="AR86" s="91" t="s">
        <v>783</v>
      </c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</row>
    <row r="87" spans="1:16374" s="120" customFormat="1" ht="12.5">
      <c r="A87" s="62" t="s">
        <v>513</v>
      </c>
      <c r="B87" s="62" t="s">
        <v>299</v>
      </c>
      <c r="C87" s="63" t="s">
        <v>341</v>
      </c>
      <c r="D87" s="64">
        <v>1</v>
      </c>
      <c r="E87" s="65" t="s">
        <v>740</v>
      </c>
      <c r="F87" s="61"/>
      <c r="G87" s="66">
        <v>2107</v>
      </c>
      <c r="H87" s="61"/>
      <c r="I87" s="61"/>
      <c r="J87" s="60">
        <v>345</v>
      </c>
      <c r="K87" s="77" t="s">
        <v>159</v>
      </c>
      <c r="L87" s="77" t="s">
        <v>166</v>
      </c>
      <c r="M87" s="78" t="s">
        <v>577</v>
      </c>
      <c r="N87" s="77" t="s">
        <v>47</v>
      </c>
      <c r="O87" s="77" t="s">
        <v>756</v>
      </c>
      <c r="P87" s="79">
        <v>10682.93</v>
      </c>
      <c r="Q87" s="80" t="s">
        <v>25</v>
      </c>
      <c r="R87" s="80" t="s">
        <v>26</v>
      </c>
      <c r="S87" s="78">
        <v>2034</v>
      </c>
      <c r="T87" s="81">
        <v>49309</v>
      </c>
      <c r="U87" s="82">
        <v>0.7</v>
      </c>
      <c r="V87" s="82">
        <v>0.30000000000000004</v>
      </c>
      <c r="W87" s="83">
        <f t="shared" si="23"/>
        <v>1</v>
      </c>
      <c r="X87" s="82">
        <v>0.05</v>
      </c>
      <c r="Y87" s="82">
        <v>9.0000000000000011E-2</v>
      </c>
      <c r="Z87" s="82">
        <v>6.8000000000000005E-2</v>
      </c>
      <c r="AA87" s="84">
        <v>0.19800000000000001</v>
      </c>
      <c r="AB87" s="82"/>
      <c r="AC87" s="85">
        <f t="shared" si="24"/>
        <v>252026.52</v>
      </c>
      <c r="AD87" s="81"/>
      <c r="AE87" s="86">
        <f t="shared" si="25"/>
        <v>1.068293E-2</v>
      </c>
      <c r="AF87" s="84">
        <f t="shared" si="26"/>
        <v>8.477623704045114E-5</v>
      </c>
      <c r="AG87" s="87">
        <f t="shared" si="27"/>
        <v>33.519527160000003</v>
      </c>
      <c r="AH87" s="86">
        <v>133</v>
      </c>
      <c r="AI87" s="86">
        <v>259.02006166495374</v>
      </c>
      <c r="AJ87" s="86">
        <v>973</v>
      </c>
      <c r="AK87" s="86">
        <v>500</v>
      </c>
      <c r="AL87" s="87">
        <f t="shared" si="28"/>
        <v>126.01326</v>
      </c>
      <c r="AM87" s="87">
        <f t="shared" si="29"/>
        <v>88.209282000000002</v>
      </c>
      <c r="AN87" s="88">
        <f t="shared" si="30"/>
        <v>129510.03083247687</v>
      </c>
      <c r="AO87" s="88">
        <f t="shared" si="31"/>
        <v>34449.66820143885</v>
      </c>
      <c r="AP87" s="89">
        <f t="shared" si="32"/>
        <v>0.7</v>
      </c>
      <c r="AQ87" s="90">
        <f t="shared" si="33"/>
        <v>2.6307405102214791</v>
      </c>
      <c r="AR87" s="91" t="s">
        <v>783</v>
      </c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</row>
    <row r="88" spans="1:16374">
      <c r="A88" s="62" t="s">
        <v>26</v>
      </c>
      <c r="B88" s="62" t="s">
        <v>26</v>
      </c>
      <c r="D88" t="s">
        <v>26</v>
      </c>
      <c r="E88" s="65" t="s">
        <v>26</v>
      </c>
      <c r="F88" t="s">
        <v>26</v>
      </c>
      <c r="G88" t="s">
        <v>26</v>
      </c>
      <c r="H88" t="s">
        <v>26</v>
      </c>
      <c r="I88" t="s">
        <v>26</v>
      </c>
      <c r="J88" t="s">
        <v>26</v>
      </c>
      <c r="K88" s="77" t="s">
        <v>159</v>
      </c>
      <c r="L88" s="77" t="s">
        <v>166</v>
      </c>
      <c r="M88" s="78" t="s">
        <v>577</v>
      </c>
      <c r="N88" s="77" t="s">
        <v>47</v>
      </c>
      <c r="O88" s="77" t="s">
        <v>756</v>
      </c>
      <c r="P88" s="79">
        <v>10682.93</v>
      </c>
      <c r="Q88" s="80" t="s">
        <v>25</v>
      </c>
      <c r="R88" s="80" t="s">
        <v>26</v>
      </c>
      <c r="S88" s="78">
        <v>2034</v>
      </c>
      <c r="T88" s="81">
        <v>49309</v>
      </c>
      <c r="U88" s="82">
        <v>0.7</v>
      </c>
      <c r="V88" s="82">
        <v>0.30000000000000004</v>
      </c>
      <c r="W88" s="83">
        <f>SUM(U88:V88)</f>
        <v>1</v>
      </c>
      <c r="X88" s="82">
        <v>0.05</v>
      </c>
      <c r="Y88" s="82">
        <v>9.0000000000000011E-2</v>
      </c>
      <c r="Z88" s="82">
        <v>6.8000000000000005E-2</v>
      </c>
      <c r="AA88" s="84">
        <v>0.19800000000000001</v>
      </c>
      <c r="AB88" s="82"/>
      <c r="AC88" s="85">
        <f>AI88*AJ88</f>
        <v>252026.52</v>
      </c>
      <c r="AD88" s="81"/>
      <c r="AE88" s="86">
        <f>P88/10^6</f>
        <v>1.068293E-2</v>
      </c>
      <c r="AF88" s="84">
        <f>IF(AL88=0,0,AE88/AL88)</f>
        <v>8.477623704045114E-5</v>
      </c>
      <c r="AG88" s="87">
        <f>(AH88*AI88*AJ88)/10^6</f>
        <v>33.519527160000003</v>
      </c>
      <c r="AH88" s="86">
        <v>133</v>
      </c>
      <c r="AI88" s="86">
        <v>259.02006166495374</v>
      </c>
      <c r="AJ88" s="86">
        <v>973</v>
      </c>
      <c r="AK88" s="86">
        <v>500</v>
      </c>
      <c r="AL88" s="87">
        <f>(AK88*AJ88*AI88)/10^6</f>
        <v>126.01326</v>
      </c>
      <c r="AM88" s="87">
        <f>AL88*U88</f>
        <v>88.209282000000002</v>
      </c>
      <c r="AN88" s="88">
        <f>AI88*AK88</f>
        <v>129510.03083247687</v>
      </c>
      <c r="AO88" s="88">
        <f>AH88*AI88</f>
        <v>34449.66820143885</v>
      </c>
      <c r="AP88" s="89">
        <f>U88+AB88</f>
        <v>0.7</v>
      </c>
      <c r="AQ88" s="90">
        <f>AL88*AP88/(AG88+AE88)</f>
        <v>2.6307405102214791</v>
      </c>
      <c r="AR88" s="91" t="s">
        <v>783</v>
      </c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20"/>
      <c r="EI88" s="120"/>
      <c r="EJ88" s="120"/>
      <c r="EK88" s="120"/>
      <c r="EL88" s="120"/>
      <c r="EM88" s="120"/>
      <c r="EN88" s="120"/>
      <c r="EO88" s="120"/>
      <c r="EP88" s="120"/>
      <c r="EQ88" s="120"/>
      <c r="ER88" s="120"/>
      <c r="ES88" s="120"/>
      <c r="ET88" s="120"/>
      <c r="EU88" s="120"/>
      <c r="EV88" s="120"/>
      <c r="EW88" s="120"/>
      <c r="EX88" s="120"/>
      <c r="EY88" s="120"/>
      <c r="EZ88" s="120"/>
      <c r="FA88" s="120"/>
      <c r="FB88" s="120"/>
      <c r="FC88" s="120"/>
      <c r="FD88" s="120"/>
      <c r="FE88" s="120"/>
      <c r="FF88" s="120"/>
      <c r="FG88" s="120"/>
      <c r="FH88" s="120"/>
      <c r="FI88" s="120"/>
      <c r="FJ88" s="120"/>
      <c r="FK88" s="120"/>
      <c r="FL88" s="120"/>
      <c r="FM88" s="120"/>
      <c r="FN88" s="120"/>
      <c r="FO88" s="120"/>
      <c r="FP88" s="120"/>
      <c r="FQ88" s="120"/>
      <c r="FR88" s="120"/>
      <c r="FS88" s="120"/>
      <c r="FT88" s="120"/>
      <c r="FU88" s="120"/>
      <c r="FV88" s="120"/>
      <c r="FW88" s="120"/>
      <c r="FX88" s="120"/>
      <c r="FY88" s="120"/>
      <c r="FZ88" s="120"/>
      <c r="GA88" s="120"/>
      <c r="GB88" s="120"/>
      <c r="GC88" s="120"/>
      <c r="GD88" s="120"/>
      <c r="GE88" s="120"/>
      <c r="GF88" s="120"/>
      <c r="GG88" s="120"/>
      <c r="GH88" s="120"/>
      <c r="GI88" s="120"/>
      <c r="GJ88" s="120"/>
      <c r="GK88" s="120"/>
      <c r="GL88" s="120"/>
      <c r="GM88" s="120"/>
      <c r="GN88" s="120"/>
      <c r="GO88" s="120"/>
      <c r="GP88" s="120"/>
      <c r="GQ88" s="120"/>
      <c r="GR88" s="120"/>
      <c r="GS88" s="120"/>
      <c r="GT88" s="120"/>
      <c r="GU88" s="120"/>
      <c r="GV88" s="120"/>
      <c r="GW88" s="120"/>
      <c r="GX88" s="120"/>
      <c r="GY88" s="120"/>
      <c r="GZ88" s="120"/>
      <c r="HA88" s="120"/>
      <c r="HB88" s="120"/>
      <c r="HC88" s="120"/>
      <c r="HD88" s="120"/>
      <c r="HE88" s="120"/>
      <c r="HF88" s="120"/>
      <c r="HG88" s="120"/>
      <c r="HH88" s="120"/>
      <c r="HI88" s="120"/>
      <c r="HJ88" s="120"/>
      <c r="HK88" s="120"/>
      <c r="HL88" s="120"/>
      <c r="HM88" s="120"/>
      <c r="HN88" s="120"/>
      <c r="HO88" s="120"/>
      <c r="HP88" s="120"/>
      <c r="HQ88" s="120"/>
      <c r="HR88" s="120"/>
      <c r="HS88" s="120"/>
      <c r="HT88" s="120"/>
      <c r="HU88" s="120"/>
      <c r="HV88" s="120"/>
      <c r="HW88" s="120"/>
      <c r="HX88" s="120"/>
      <c r="HY88" s="120"/>
      <c r="HZ88" s="120"/>
      <c r="IA88" s="120"/>
      <c r="IB88" s="120"/>
      <c r="IC88" s="120"/>
      <c r="ID88" s="120"/>
      <c r="IE88" s="120"/>
      <c r="IF88" s="120"/>
      <c r="IG88" s="120"/>
      <c r="IH88" s="120"/>
      <c r="II88" s="120"/>
      <c r="IJ88" s="120"/>
      <c r="IK88" s="120"/>
      <c r="IL88" s="120"/>
      <c r="IM88" s="120"/>
      <c r="IN88" s="120"/>
      <c r="IO88" s="120"/>
      <c r="IP88" s="120"/>
      <c r="IQ88" s="120"/>
      <c r="IR88" s="120"/>
      <c r="IS88" s="120"/>
      <c r="IT88" s="120"/>
      <c r="IU88" s="120"/>
      <c r="IV88" s="120"/>
      <c r="IW88" s="120"/>
      <c r="IX88" s="120"/>
      <c r="IY88" s="120"/>
      <c r="IZ88" s="120"/>
      <c r="JA88" s="120"/>
      <c r="JB88" s="120"/>
      <c r="JC88" s="120"/>
      <c r="JD88" s="120"/>
      <c r="JE88" s="120"/>
      <c r="JF88" s="120"/>
      <c r="JG88" s="120"/>
      <c r="JH88" s="120"/>
      <c r="JI88" s="120"/>
      <c r="JJ88" s="120"/>
      <c r="JK88" s="120"/>
      <c r="JL88" s="120"/>
      <c r="JM88" s="120"/>
      <c r="JN88" s="120"/>
      <c r="JO88" s="120"/>
      <c r="JP88" s="120"/>
      <c r="JQ88" s="120"/>
      <c r="JR88" s="120"/>
      <c r="JS88" s="120"/>
      <c r="JT88" s="120"/>
      <c r="JU88" s="120"/>
      <c r="JV88" s="120"/>
      <c r="JW88" s="120"/>
      <c r="JX88" s="120"/>
      <c r="JY88" s="120"/>
      <c r="JZ88" s="120"/>
      <c r="KA88" s="120"/>
      <c r="KB88" s="120"/>
      <c r="KC88" s="120"/>
      <c r="KD88" s="120"/>
      <c r="KE88" s="120"/>
      <c r="KF88" s="120"/>
      <c r="KG88" s="120"/>
      <c r="KH88" s="120"/>
      <c r="KI88" s="120"/>
      <c r="KJ88" s="120"/>
      <c r="KK88" s="120"/>
      <c r="KL88" s="120"/>
      <c r="KM88" s="120"/>
      <c r="KN88" s="120"/>
      <c r="KO88" s="120"/>
      <c r="KP88" s="120"/>
      <c r="KQ88" s="120"/>
      <c r="KR88" s="120"/>
      <c r="KS88" s="120"/>
      <c r="KT88" s="120"/>
      <c r="KU88" s="120"/>
      <c r="KV88" s="120"/>
      <c r="KW88" s="120"/>
      <c r="KX88" s="120"/>
      <c r="KY88" s="120"/>
      <c r="KZ88" s="120"/>
      <c r="LA88" s="120"/>
      <c r="LB88" s="120"/>
      <c r="LC88" s="120"/>
      <c r="LD88" s="120"/>
      <c r="LE88" s="120"/>
      <c r="LF88" s="120"/>
      <c r="LG88" s="120"/>
      <c r="LH88" s="120"/>
      <c r="LI88" s="120"/>
      <c r="LJ88" s="120"/>
      <c r="LK88" s="120"/>
      <c r="LL88" s="120"/>
      <c r="LM88" s="120"/>
      <c r="LN88" s="120"/>
      <c r="LO88" s="120"/>
      <c r="LP88" s="120"/>
      <c r="LQ88" s="120"/>
      <c r="LR88" s="120"/>
      <c r="LS88" s="120"/>
      <c r="LT88" s="120"/>
      <c r="LU88" s="120"/>
      <c r="LV88" s="120"/>
      <c r="LW88" s="120"/>
      <c r="LX88" s="120"/>
      <c r="LY88" s="120"/>
      <c r="LZ88" s="120"/>
      <c r="MA88" s="120"/>
      <c r="MB88" s="120"/>
      <c r="MC88" s="120"/>
      <c r="MD88" s="120"/>
      <c r="ME88" s="120"/>
      <c r="MF88" s="120"/>
      <c r="MG88" s="120"/>
      <c r="MH88" s="120"/>
      <c r="MI88" s="120"/>
      <c r="MJ88" s="120"/>
      <c r="MK88" s="120"/>
      <c r="ML88" s="120"/>
      <c r="MM88" s="120"/>
      <c r="MN88" s="120"/>
      <c r="MO88" s="120"/>
      <c r="MP88" s="120"/>
      <c r="MQ88" s="120"/>
      <c r="MR88" s="120"/>
      <c r="MS88" s="120"/>
      <c r="MT88" s="120"/>
      <c r="MU88" s="120"/>
      <c r="MV88" s="120"/>
      <c r="MW88" s="120"/>
      <c r="MX88" s="120"/>
      <c r="MY88" s="120"/>
      <c r="MZ88" s="120"/>
      <c r="NA88" s="120"/>
      <c r="NB88" s="120"/>
      <c r="NC88" s="120"/>
      <c r="ND88" s="120"/>
      <c r="NE88" s="120"/>
      <c r="NF88" s="120"/>
      <c r="NG88" s="120"/>
      <c r="NH88" s="120"/>
      <c r="NI88" s="120"/>
      <c r="NJ88" s="120"/>
      <c r="NK88" s="120"/>
      <c r="NL88" s="120"/>
      <c r="NM88" s="120"/>
      <c r="NN88" s="120"/>
      <c r="NO88" s="120"/>
      <c r="NP88" s="120"/>
      <c r="NQ88" s="120"/>
      <c r="NR88" s="120"/>
      <c r="NS88" s="120"/>
      <c r="NT88" s="120"/>
      <c r="NU88" s="120"/>
      <c r="NV88" s="120"/>
      <c r="NW88" s="120"/>
      <c r="NX88" s="120"/>
      <c r="NY88" s="120"/>
      <c r="NZ88" s="120"/>
      <c r="OA88" s="120"/>
      <c r="OB88" s="120"/>
      <c r="OC88" s="120"/>
      <c r="OD88" s="120"/>
      <c r="OE88" s="120"/>
      <c r="OF88" s="120"/>
      <c r="OG88" s="120"/>
      <c r="OH88" s="120"/>
      <c r="OI88" s="120"/>
      <c r="OJ88" s="120"/>
      <c r="OK88" s="120"/>
      <c r="OL88" s="120"/>
      <c r="OM88" s="120"/>
      <c r="ON88" s="120"/>
      <c r="OO88" s="120"/>
      <c r="OP88" s="120"/>
      <c r="OQ88" s="120"/>
      <c r="OR88" s="120"/>
      <c r="OS88" s="120"/>
      <c r="OT88" s="120"/>
      <c r="OU88" s="120"/>
      <c r="OV88" s="120"/>
      <c r="OW88" s="120"/>
      <c r="OX88" s="120"/>
      <c r="OY88" s="120"/>
      <c r="OZ88" s="120"/>
      <c r="PA88" s="120"/>
      <c r="PB88" s="120"/>
      <c r="PC88" s="120"/>
      <c r="PD88" s="120"/>
      <c r="PE88" s="120"/>
      <c r="PF88" s="120"/>
      <c r="PG88" s="120"/>
      <c r="PH88" s="120"/>
      <c r="PI88" s="120"/>
      <c r="PJ88" s="120"/>
      <c r="PK88" s="120"/>
      <c r="PL88" s="120"/>
      <c r="PM88" s="120"/>
      <c r="PN88" s="120"/>
      <c r="PO88" s="120"/>
      <c r="PP88" s="120"/>
      <c r="PQ88" s="120"/>
      <c r="PR88" s="120"/>
      <c r="PS88" s="120"/>
      <c r="PT88" s="120"/>
      <c r="PU88" s="120"/>
      <c r="PV88" s="120"/>
      <c r="PW88" s="120"/>
      <c r="PX88" s="120"/>
      <c r="PY88" s="120"/>
      <c r="PZ88" s="120"/>
      <c r="QA88" s="120"/>
      <c r="QB88" s="120"/>
      <c r="QC88" s="120"/>
      <c r="QD88" s="120"/>
      <c r="QE88" s="120"/>
      <c r="QF88" s="120"/>
      <c r="QG88" s="120"/>
      <c r="QH88" s="120"/>
      <c r="QI88" s="120"/>
      <c r="QJ88" s="120"/>
      <c r="QK88" s="120"/>
      <c r="QL88" s="120"/>
      <c r="QM88" s="120"/>
      <c r="QN88" s="120"/>
      <c r="QO88" s="120"/>
      <c r="QP88" s="120"/>
      <c r="QQ88" s="120"/>
      <c r="QR88" s="120"/>
      <c r="QS88" s="120"/>
      <c r="QT88" s="120"/>
      <c r="QU88" s="120"/>
      <c r="QV88" s="120"/>
      <c r="QW88" s="120"/>
      <c r="QX88" s="120"/>
      <c r="QY88" s="120"/>
      <c r="QZ88" s="120"/>
      <c r="RA88" s="120"/>
      <c r="RB88" s="120"/>
      <c r="RC88" s="120"/>
      <c r="RD88" s="120"/>
      <c r="RE88" s="120"/>
      <c r="RF88" s="120"/>
      <c r="RG88" s="120"/>
      <c r="RH88" s="120"/>
      <c r="RI88" s="120"/>
      <c r="RJ88" s="120"/>
      <c r="RK88" s="120"/>
      <c r="RL88" s="120"/>
      <c r="RM88" s="120"/>
      <c r="RN88" s="120"/>
      <c r="RO88" s="120"/>
      <c r="RP88" s="120"/>
      <c r="RQ88" s="120"/>
      <c r="RR88" s="120"/>
      <c r="RS88" s="120"/>
      <c r="RT88" s="120"/>
      <c r="RU88" s="120"/>
      <c r="RV88" s="120"/>
      <c r="RW88" s="120"/>
      <c r="RX88" s="120"/>
      <c r="RY88" s="120"/>
      <c r="RZ88" s="120"/>
      <c r="SA88" s="120"/>
      <c r="SB88" s="120"/>
      <c r="SC88" s="120"/>
      <c r="SD88" s="120"/>
      <c r="SE88" s="120"/>
      <c r="SF88" s="120"/>
      <c r="SG88" s="120"/>
      <c r="SH88" s="120"/>
      <c r="SI88" s="120"/>
      <c r="SJ88" s="120"/>
      <c r="SK88" s="120"/>
      <c r="SL88" s="120"/>
      <c r="SM88" s="120"/>
      <c r="SN88" s="120"/>
      <c r="SO88" s="120"/>
      <c r="SP88" s="120"/>
      <c r="SQ88" s="120"/>
      <c r="SR88" s="120"/>
      <c r="SS88" s="120"/>
      <c r="ST88" s="120"/>
      <c r="SU88" s="120"/>
      <c r="SV88" s="120"/>
      <c r="SW88" s="120"/>
      <c r="SX88" s="120"/>
      <c r="SY88" s="120"/>
      <c r="SZ88" s="120"/>
      <c r="TA88" s="120"/>
      <c r="TB88" s="120"/>
      <c r="TC88" s="120"/>
      <c r="TD88" s="120"/>
      <c r="TE88" s="120"/>
      <c r="TF88" s="120"/>
      <c r="TG88" s="120"/>
      <c r="TH88" s="120"/>
      <c r="TI88" s="120"/>
      <c r="TJ88" s="120"/>
      <c r="TK88" s="120"/>
      <c r="TL88" s="120"/>
      <c r="TM88" s="120"/>
      <c r="TN88" s="120"/>
      <c r="TO88" s="120"/>
      <c r="TP88" s="120"/>
      <c r="TQ88" s="120"/>
      <c r="TR88" s="120"/>
      <c r="TS88" s="120"/>
      <c r="TT88" s="120"/>
      <c r="TU88" s="120"/>
      <c r="TV88" s="120"/>
      <c r="TW88" s="120"/>
      <c r="TX88" s="120"/>
      <c r="TY88" s="120"/>
      <c r="TZ88" s="120"/>
      <c r="UA88" s="120"/>
      <c r="UB88" s="120"/>
      <c r="UC88" s="120"/>
      <c r="UD88" s="120"/>
      <c r="UE88" s="120"/>
      <c r="UF88" s="120"/>
      <c r="UG88" s="120"/>
      <c r="UH88" s="120"/>
      <c r="UI88" s="120"/>
      <c r="UJ88" s="120"/>
      <c r="UK88" s="120"/>
      <c r="UL88" s="120"/>
      <c r="UM88" s="120"/>
      <c r="UN88" s="120"/>
      <c r="UO88" s="120"/>
      <c r="UP88" s="120"/>
      <c r="UQ88" s="120"/>
      <c r="UR88" s="120"/>
      <c r="US88" s="120"/>
      <c r="UT88" s="120"/>
      <c r="UU88" s="120"/>
      <c r="UV88" s="120"/>
      <c r="UW88" s="120"/>
      <c r="UX88" s="120"/>
      <c r="UY88" s="120"/>
      <c r="UZ88" s="120"/>
      <c r="VA88" s="120"/>
      <c r="VB88" s="120"/>
      <c r="VC88" s="120"/>
      <c r="VD88" s="120"/>
      <c r="VE88" s="120"/>
      <c r="VF88" s="120"/>
      <c r="VG88" s="120"/>
      <c r="VH88" s="120"/>
      <c r="VI88" s="120"/>
      <c r="VJ88" s="120"/>
      <c r="VK88" s="120"/>
      <c r="VL88" s="120"/>
      <c r="VM88" s="120"/>
      <c r="VN88" s="120"/>
      <c r="VO88" s="120"/>
      <c r="VP88" s="120"/>
      <c r="VQ88" s="120"/>
      <c r="VR88" s="120"/>
      <c r="VS88" s="120"/>
      <c r="VT88" s="120"/>
      <c r="VU88" s="120"/>
      <c r="VV88" s="120"/>
      <c r="VW88" s="120"/>
      <c r="VX88" s="120"/>
      <c r="VY88" s="120"/>
      <c r="VZ88" s="120"/>
      <c r="WA88" s="120"/>
      <c r="WB88" s="120"/>
      <c r="WC88" s="120"/>
      <c r="WD88" s="120"/>
      <c r="WE88" s="120"/>
      <c r="WF88" s="120"/>
      <c r="WG88" s="120"/>
      <c r="WH88" s="120"/>
      <c r="WI88" s="120"/>
      <c r="WJ88" s="120"/>
      <c r="WK88" s="120"/>
      <c r="WL88" s="120"/>
      <c r="WM88" s="120"/>
      <c r="WN88" s="120"/>
      <c r="WO88" s="120"/>
      <c r="WP88" s="120"/>
      <c r="WQ88" s="120"/>
      <c r="WR88" s="120"/>
      <c r="WS88" s="120"/>
      <c r="WT88" s="120"/>
      <c r="WU88" s="120"/>
      <c r="WV88" s="120"/>
      <c r="WW88" s="120"/>
      <c r="WX88" s="120"/>
      <c r="WY88" s="120"/>
      <c r="WZ88" s="120"/>
      <c r="XA88" s="120"/>
      <c r="XB88" s="120"/>
      <c r="XC88" s="120"/>
      <c r="XD88" s="120"/>
      <c r="XE88" s="120"/>
      <c r="XF88" s="120"/>
      <c r="XG88" s="120"/>
      <c r="XH88" s="120"/>
      <c r="XI88" s="120"/>
      <c r="XJ88" s="120"/>
      <c r="XK88" s="120"/>
      <c r="XL88" s="120"/>
      <c r="XM88" s="120"/>
      <c r="XN88" s="120"/>
      <c r="XO88" s="120"/>
      <c r="XP88" s="120"/>
      <c r="XQ88" s="120"/>
      <c r="XR88" s="120"/>
      <c r="XS88" s="120"/>
      <c r="XT88" s="120"/>
      <c r="XU88" s="120"/>
      <c r="XV88" s="120"/>
      <c r="XW88" s="120"/>
      <c r="XX88" s="120"/>
      <c r="XY88" s="120"/>
      <c r="XZ88" s="120"/>
      <c r="YA88" s="120"/>
      <c r="YB88" s="120"/>
      <c r="YC88" s="120"/>
      <c r="YD88" s="120"/>
      <c r="YE88" s="120"/>
      <c r="YF88" s="120"/>
      <c r="YG88" s="120"/>
      <c r="YH88" s="120"/>
      <c r="YI88" s="120"/>
      <c r="YJ88" s="120"/>
      <c r="YK88" s="120"/>
      <c r="YL88" s="120"/>
      <c r="YM88" s="120"/>
      <c r="YN88" s="120"/>
      <c r="YO88" s="120"/>
      <c r="YP88" s="120"/>
      <c r="YQ88" s="120"/>
      <c r="YR88" s="120"/>
      <c r="YS88" s="120"/>
      <c r="YT88" s="120"/>
      <c r="YU88" s="120"/>
      <c r="YV88" s="120"/>
      <c r="YW88" s="120"/>
      <c r="YX88" s="120"/>
      <c r="YY88" s="120"/>
      <c r="YZ88" s="120"/>
      <c r="ZA88" s="120"/>
      <c r="ZB88" s="120"/>
      <c r="ZC88" s="120"/>
      <c r="ZD88" s="120"/>
      <c r="ZE88" s="120"/>
      <c r="ZF88" s="120"/>
      <c r="ZG88" s="120"/>
      <c r="ZH88" s="120"/>
      <c r="ZI88" s="120"/>
      <c r="ZJ88" s="120"/>
      <c r="ZK88" s="120"/>
      <c r="ZL88" s="120"/>
      <c r="ZM88" s="120"/>
      <c r="ZN88" s="120"/>
      <c r="ZO88" s="120"/>
      <c r="ZP88" s="120"/>
      <c r="ZQ88" s="120"/>
      <c r="ZR88" s="120"/>
      <c r="ZS88" s="120"/>
      <c r="ZT88" s="120"/>
      <c r="ZU88" s="120"/>
      <c r="ZV88" s="120"/>
      <c r="ZW88" s="120"/>
      <c r="ZX88" s="120"/>
      <c r="ZY88" s="120"/>
      <c r="ZZ88" s="120"/>
      <c r="AAA88" s="120"/>
      <c r="AAB88" s="120"/>
      <c r="AAC88" s="120"/>
      <c r="AAD88" s="120"/>
      <c r="AAE88" s="120"/>
      <c r="AAF88" s="120"/>
      <c r="AAG88" s="120"/>
      <c r="AAH88" s="120"/>
      <c r="AAI88" s="120"/>
      <c r="AAJ88" s="120"/>
      <c r="AAK88" s="120"/>
      <c r="AAL88" s="120"/>
      <c r="AAM88" s="120"/>
      <c r="AAN88" s="120"/>
      <c r="AAO88" s="120"/>
      <c r="AAP88" s="120"/>
      <c r="AAQ88" s="120"/>
      <c r="AAR88" s="120"/>
      <c r="AAS88" s="120"/>
      <c r="AAT88" s="120"/>
      <c r="AAU88" s="120"/>
      <c r="AAV88" s="120"/>
      <c r="AAW88" s="120"/>
      <c r="AAX88" s="120"/>
      <c r="AAY88" s="120"/>
      <c r="AAZ88" s="120"/>
      <c r="ABA88" s="120"/>
      <c r="ABB88" s="120"/>
      <c r="ABC88" s="120"/>
      <c r="ABD88" s="120"/>
      <c r="ABE88" s="120"/>
      <c r="ABF88" s="120"/>
      <c r="ABG88" s="120"/>
      <c r="ABH88" s="120"/>
      <c r="ABI88" s="120"/>
      <c r="ABJ88" s="120"/>
      <c r="ABK88" s="120"/>
      <c r="ABL88" s="120"/>
      <c r="ABM88" s="120"/>
      <c r="ABN88" s="120"/>
      <c r="ABO88" s="120"/>
      <c r="ABP88" s="120"/>
      <c r="ABQ88" s="120"/>
      <c r="ABR88" s="120"/>
      <c r="ABS88" s="120"/>
      <c r="ABT88" s="120"/>
      <c r="ABU88" s="120"/>
      <c r="ABV88" s="120"/>
      <c r="ABW88" s="120"/>
      <c r="ABX88" s="120"/>
      <c r="ABY88" s="120"/>
      <c r="ABZ88" s="120"/>
      <c r="ACA88" s="120"/>
      <c r="ACB88" s="120"/>
      <c r="ACC88" s="120"/>
      <c r="ACD88" s="120"/>
      <c r="ACE88" s="120"/>
      <c r="ACF88" s="120"/>
      <c r="ACG88" s="120"/>
      <c r="ACH88" s="120"/>
      <c r="ACI88" s="120"/>
      <c r="ACJ88" s="120"/>
      <c r="ACK88" s="120"/>
      <c r="ACL88" s="120"/>
      <c r="ACM88" s="120"/>
      <c r="ACN88" s="120"/>
      <c r="ACO88" s="120"/>
      <c r="ACP88" s="120"/>
      <c r="ACQ88" s="120"/>
      <c r="ACR88" s="120"/>
      <c r="ACS88" s="120"/>
      <c r="ACT88" s="120"/>
      <c r="ACU88" s="120"/>
      <c r="ACV88" s="120"/>
      <c r="ACW88" s="120"/>
      <c r="ACX88" s="120"/>
      <c r="ACY88" s="120"/>
      <c r="ACZ88" s="120"/>
      <c r="ADA88" s="120"/>
      <c r="ADB88" s="120"/>
      <c r="ADC88" s="120"/>
      <c r="ADD88" s="120"/>
      <c r="ADE88" s="120"/>
      <c r="ADF88" s="120"/>
      <c r="ADG88" s="120"/>
      <c r="ADH88" s="120"/>
      <c r="ADI88" s="120"/>
      <c r="ADJ88" s="120"/>
      <c r="ADK88" s="120"/>
      <c r="ADL88" s="120"/>
      <c r="ADM88" s="120"/>
      <c r="ADN88" s="120"/>
      <c r="ADO88" s="120"/>
      <c r="ADP88" s="120"/>
      <c r="ADQ88" s="120"/>
      <c r="ADR88" s="120"/>
      <c r="ADS88" s="120"/>
      <c r="ADT88" s="120"/>
      <c r="ADU88" s="120"/>
      <c r="ADV88" s="120"/>
      <c r="ADW88" s="120"/>
      <c r="ADX88" s="120"/>
      <c r="ADY88" s="120"/>
      <c r="ADZ88" s="120"/>
      <c r="AEA88" s="120"/>
      <c r="AEB88" s="120"/>
      <c r="AEC88" s="120"/>
      <c r="AED88" s="120"/>
      <c r="AEE88" s="120"/>
      <c r="AEF88" s="120"/>
      <c r="AEG88" s="120"/>
      <c r="AEH88" s="120"/>
      <c r="AEI88" s="120"/>
      <c r="AEJ88" s="120"/>
      <c r="AEK88" s="120"/>
      <c r="AEL88" s="120"/>
      <c r="AEM88" s="120"/>
      <c r="AEN88" s="120"/>
      <c r="AEO88" s="120"/>
      <c r="AEP88" s="120"/>
      <c r="AEQ88" s="120"/>
      <c r="AER88" s="120"/>
      <c r="AES88" s="120"/>
      <c r="AET88" s="120"/>
      <c r="AEU88" s="120"/>
      <c r="AEV88" s="120"/>
      <c r="AEW88" s="120"/>
      <c r="AEX88" s="120"/>
      <c r="AEY88" s="120"/>
      <c r="AEZ88" s="120"/>
      <c r="AFA88" s="120"/>
      <c r="AFB88" s="120"/>
      <c r="AFC88" s="120"/>
      <c r="AFD88" s="120"/>
      <c r="AFE88" s="120"/>
      <c r="AFF88" s="120"/>
      <c r="AFG88" s="120"/>
      <c r="AFH88" s="120"/>
      <c r="AFI88" s="120"/>
      <c r="AFJ88" s="120"/>
      <c r="AFK88" s="120"/>
      <c r="AFL88" s="120"/>
      <c r="AFM88" s="120"/>
      <c r="AFN88" s="120"/>
      <c r="AFO88" s="120"/>
      <c r="AFP88" s="120"/>
      <c r="AFQ88" s="120"/>
      <c r="AFR88" s="120"/>
      <c r="AFS88" s="120"/>
      <c r="AFT88" s="120"/>
      <c r="AFU88" s="120"/>
      <c r="AFV88" s="120"/>
      <c r="AFW88" s="120"/>
      <c r="AFX88" s="120"/>
      <c r="AFY88" s="120"/>
      <c r="AFZ88" s="120"/>
      <c r="AGA88" s="120"/>
      <c r="AGB88" s="120"/>
      <c r="AGC88" s="120"/>
      <c r="AGD88" s="120"/>
      <c r="AGE88" s="120"/>
      <c r="AGF88" s="120"/>
      <c r="AGG88" s="120"/>
      <c r="AGH88" s="120"/>
      <c r="AGI88" s="120"/>
      <c r="AGJ88" s="120"/>
      <c r="AGK88" s="120"/>
      <c r="AGL88" s="120"/>
      <c r="AGM88" s="120"/>
      <c r="AGN88" s="120"/>
      <c r="AGO88" s="120"/>
      <c r="AGP88" s="120"/>
      <c r="AGQ88" s="120"/>
      <c r="AGR88" s="120"/>
      <c r="AGS88" s="120"/>
      <c r="AGT88" s="120"/>
      <c r="AGU88" s="120"/>
      <c r="AGV88" s="120"/>
      <c r="AGW88" s="120"/>
      <c r="AGX88" s="120"/>
      <c r="AGY88" s="120"/>
      <c r="AGZ88" s="120"/>
      <c r="AHA88" s="120"/>
      <c r="AHB88" s="120"/>
      <c r="AHC88" s="120"/>
      <c r="AHD88" s="120"/>
      <c r="AHE88" s="120"/>
      <c r="AHF88" s="120"/>
      <c r="AHG88" s="120"/>
      <c r="AHH88" s="120"/>
      <c r="AHI88" s="120"/>
      <c r="AHJ88" s="120"/>
      <c r="AHK88" s="120"/>
      <c r="AHL88" s="120"/>
      <c r="AHM88" s="120"/>
      <c r="AHN88" s="120"/>
      <c r="AHO88" s="120"/>
      <c r="AHP88" s="120"/>
      <c r="AHQ88" s="120"/>
      <c r="AHR88" s="120"/>
      <c r="AHS88" s="120"/>
      <c r="AHT88" s="120"/>
      <c r="AHU88" s="120"/>
      <c r="AHV88" s="120"/>
      <c r="AHW88" s="120"/>
      <c r="AHX88" s="120"/>
      <c r="AHY88" s="120"/>
      <c r="AHZ88" s="120"/>
      <c r="AIA88" s="120"/>
      <c r="AIB88" s="120"/>
      <c r="AIC88" s="120"/>
      <c r="AID88" s="120"/>
      <c r="AIE88" s="120"/>
      <c r="AIF88" s="120"/>
      <c r="AIG88" s="120"/>
      <c r="AIH88" s="120"/>
      <c r="AII88" s="120"/>
      <c r="AIJ88" s="120"/>
      <c r="AIK88" s="120"/>
      <c r="AIL88" s="120"/>
      <c r="AIM88" s="120"/>
      <c r="AIN88" s="120"/>
      <c r="AIO88" s="120"/>
      <c r="AIP88" s="120"/>
      <c r="AIQ88" s="120"/>
      <c r="AIR88" s="120"/>
      <c r="AIS88" s="120"/>
      <c r="AIT88" s="120"/>
      <c r="AIU88" s="120"/>
      <c r="AIV88" s="120"/>
      <c r="AIW88" s="120"/>
      <c r="AIX88" s="120"/>
      <c r="AIY88" s="120"/>
      <c r="AIZ88" s="120"/>
      <c r="AJA88" s="120"/>
      <c r="AJB88" s="120"/>
      <c r="AJC88" s="120"/>
      <c r="AJD88" s="120"/>
      <c r="AJE88" s="120"/>
      <c r="AJF88" s="120"/>
      <c r="AJG88" s="120"/>
      <c r="AJH88" s="120"/>
      <c r="AJI88" s="120"/>
      <c r="AJJ88" s="120"/>
      <c r="AJK88" s="120"/>
      <c r="AJL88" s="120"/>
      <c r="AJM88" s="120"/>
      <c r="AJN88" s="120"/>
      <c r="AJO88" s="120"/>
      <c r="AJP88" s="120"/>
      <c r="AJQ88" s="120"/>
      <c r="AJR88" s="120"/>
      <c r="AJS88" s="120"/>
      <c r="AJT88" s="120"/>
      <c r="AJU88" s="120"/>
      <c r="AJV88" s="120"/>
      <c r="AJW88" s="120"/>
      <c r="AJX88" s="120"/>
      <c r="AJY88" s="120"/>
      <c r="AJZ88" s="120"/>
      <c r="AKA88" s="120"/>
      <c r="AKB88" s="120"/>
      <c r="AKC88" s="120"/>
      <c r="AKD88" s="120"/>
      <c r="AKE88" s="120"/>
      <c r="AKF88" s="120"/>
      <c r="AKG88" s="120"/>
      <c r="AKH88" s="120"/>
      <c r="AKI88" s="120"/>
      <c r="AKJ88" s="120"/>
      <c r="AKK88" s="120"/>
      <c r="AKL88" s="120"/>
      <c r="AKM88" s="120"/>
      <c r="AKN88" s="120"/>
      <c r="AKO88" s="120"/>
      <c r="AKP88" s="120"/>
      <c r="AKQ88" s="120"/>
      <c r="AKR88" s="120"/>
      <c r="AKS88" s="120"/>
      <c r="AKT88" s="120"/>
      <c r="AKU88" s="120"/>
      <c r="AKV88" s="120"/>
      <c r="AKW88" s="120"/>
      <c r="AKX88" s="120"/>
      <c r="AKY88" s="120"/>
      <c r="AKZ88" s="120"/>
      <c r="ALA88" s="120"/>
      <c r="ALB88" s="120"/>
      <c r="ALC88" s="120"/>
      <c r="ALD88" s="120"/>
      <c r="ALE88" s="120"/>
      <c r="ALF88" s="120"/>
      <c r="ALG88" s="120"/>
      <c r="ALH88" s="120"/>
      <c r="ALI88" s="120"/>
      <c r="ALJ88" s="120"/>
      <c r="ALK88" s="120"/>
      <c r="ALL88" s="120"/>
      <c r="ALM88" s="120"/>
      <c r="ALN88" s="120"/>
      <c r="ALO88" s="120"/>
      <c r="ALP88" s="120"/>
      <c r="ALQ88" s="120"/>
      <c r="ALR88" s="120"/>
      <c r="ALS88" s="120"/>
      <c r="ALT88" s="120"/>
      <c r="ALU88" s="120"/>
      <c r="ALV88" s="120"/>
      <c r="ALW88" s="120"/>
      <c r="ALX88" s="120"/>
      <c r="ALY88" s="120"/>
      <c r="ALZ88" s="120"/>
      <c r="AMA88" s="120"/>
      <c r="AMB88" s="120"/>
      <c r="AMC88" s="120"/>
      <c r="AMD88" s="120"/>
      <c r="AME88" s="120"/>
      <c r="AMF88" s="120"/>
      <c r="AMG88" s="120"/>
      <c r="AMH88" s="120"/>
      <c r="AMI88" s="120"/>
      <c r="AMJ88" s="120"/>
      <c r="AMK88" s="120"/>
      <c r="AML88" s="120"/>
      <c r="AMM88" s="120"/>
      <c r="AMN88" s="120"/>
      <c r="AMO88" s="120"/>
      <c r="AMP88" s="120"/>
      <c r="AMQ88" s="120"/>
      <c r="AMR88" s="120"/>
      <c r="AMS88" s="120"/>
      <c r="AMT88" s="120"/>
      <c r="AMU88" s="120"/>
      <c r="AMV88" s="120"/>
      <c r="AMW88" s="120"/>
      <c r="AMX88" s="120"/>
      <c r="AMY88" s="120"/>
      <c r="AMZ88" s="120"/>
      <c r="ANA88" s="120"/>
      <c r="ANB88" s="120"/>
      <c r="ANC88" s="120"/>
      <c r="AND88" s="120"/>
      <c r="ANE88" s="120"/>
      <c r="ANF88" s="120"/>
      <c r="ANG88" s="120"/>
      <c r="ANH88" s="120"/>
      <c r="ANI88" s="120"/>
      <c r="ANJ88" s="120"/>
      <c r="ANK88" s="120"/>
      <c r="ANL88" s="120"/>
      <c r="ANM88" s="120"/>
      <c r="ANN88" s="120"/>
      <c r="ANO88" s="120"/>
      <c r="ANP88" s="120"/>
      <c r="ANQ88" s="120"/>
      <c r="ANR88" s="120"/>
      <c r="ANS88" s="120"/>
      <c r="ANT88" s="120"/>
      <c r="ANU88" s="120"/>
      <c r="ANV88" s="120"/>
      <c r="ANW88" s="120"/>
      <c r="ANX88" s="120"/>
      <c r="ANY88" s="120"/>
      <c r="ANZ88" s="120"/>
      <c r="AOA88" s="120"/>
      <c r="AOB88" s="120"/>
      <c r="AOC88" s="120"/>
      <c r="AOD88" s="120"/>
      <c r="AOE88" s="120"/>
      <c r="AOF88" s="120"/>
      <c r="AOG88" s="120"/>
      <c r="AOH88" s="120"/>
      <c r="AOI88" s="120"/>
      <c r="AOJ88" s="120"/>
      <c r="AOK88" s="120"/>
      <c r="AOL88" s="120"/>
      <c r="AOM88" s="120"/>
      <c r="AON88" s="120"/>
      <c r="AOO88" s="120"/>
      <c r="AOP88" s="120"/>
      <c r="AOQ88" s="120"/>
      <c r="AOR88" s="120"/>
      <c r="AOS88" s="120"/>
      <c r="AOT88" s="120"/>
      <c r="AOU88" s="120"/>
      <c r="AOV88" s="120"/>
      <c r="AOW88" s="120"/>
      <c r="AOX88" s="120"/>
      <c r="AOY88" s="120"/>
      <c r="AOZ88" s="120"/>
      <c r="APA88" s="120"/>
      <c r="APB88" s="120"/>
      <c r="APC88" s="120"/>
      <c r="APD88" s="120"/>
      <c r="APE88" s="120"/>
      <c r="APF88" s="120"/>
      <c r="APG88" s="120"/>
      <c r="APH88" s="120"/>
      <c r="API88" s="120"/>
      <c r="APJ88" s="120"/>
      <c r="APK88" s="120"/>
      <c r="APL88" s="120"/>
      <c r="APM88" s="120"/>
      <c r="APN88" s="120"/>
      <c r="APO88" s="120"/>
      <c r="APP88" s="120"/>
      <c r="APQ88" s="120"/>
      <c r="APR88" s="120"/>
      <c r="APS88" s="120"/>
      <c r="APT88" s="120"/>
      <c r="APU88" s="120"/>
      <c r="APV88" s="120"/>
      <c r="APW88" s="120"/>
      <c r="APX88" s="120"/>
      <c r="APY88" s="120"/>
      <c r="APZ88" s="120"/>
      <c r="AQA88" s="120"/>
      <c r="AQB88" s="120"/>
      <c r="AQC88" s="120"/>
      <c r="AQD88" s="120"/>
      <c r="AQE88" s="120"/>
      <c r="AQF88" s="120"/>
      <c r="AQG88" s="120"/>
      <c r="AQH88" s="120"/>
      <c r="AQI88" s="120"/>
      <c r="AQJ88" s="120"/>
      <c r="AQK88" s="120"/>
      <c r="AQL88" s="120"/>
      <c r="AQM88" s="120"/>
      <c r="AQN88" s="120"/>
      <c r="AQO88" s="120"/>
      <c r="AQP88" s="120"/>
      <c r="AQQ88" s="120"/>
      <c r="AQR88" s="120"/>
      <c r="AQS88" s="120"/>
      <c r="AQT88" s="120"/>
      <c r="AQU88" s="120"/>
      <c r="AQV88" s="120"/>
      <c r="AQW88" s="120"/>
      <c r="AQX88" s="120"/>
      <c r="AQY88" s="120"/>
      <c r="AQZ88" s="120"/>
      <c r="ARA88" s="120"/>
      <c r="ARB88" s="120"/>
      <c r="ARC88" s="120"/>
      <c r="ARD88" s="120"/>
      <c r="ARE88" s="120"/>
      <c r="ARF88" s="120"/>
      <c r="ARG88" s="120"/>
      <c r="ARH88" s="120"/>
      <c r="ARI88" s="120"/>
      <c r="ARJ88" s="120"/>
      <c r="ARK88" s="120"/>
      <c r="ARL88" s="120"/>
      <c r="ARM88" s="120"/>
      <c r="ARN88" s="120"/>
      <c r="ARO88" s="120"/>
      <c r="ARP88" s="120"/>
      <c r="ARQ88" s="120"/>
      <c r="ARR88" s="120"/>
      <c r="ARS88" s="120"/>
      <c r="ART88" s="120"/>
      <c r="ARU88" s="120"/>
      <c r="ARV88" s="120"/>
      <c r="ARW88" s="120"/>
      <c r="ARX88" s="120"/>
      <c r="ARY88" s="120"/>
      <c r="ARZ88" s="120"/>
      <c r="ASA88" s="120"/>
      <c r="ASB88" s="120"/>
      <c r="ASC88" s="120"/>
      <c r="ASD88" s="120"/>
      <c r="ASE88" s="120"/>
      <c r="ASF88" s="120"/>
      <c r="ASG88" s="120"/>
      <c r="ASH88" s="120"/>
      <c r="ASI88" s="120"/>
      <c r="ASJ88" s="120"/>
      <c r="ASK88" s="120"/>
      <c r="ASL88" s="120"/>
      <c r="ASM88" s="120"/>
      <c r="ASN88" s="120"/>
      <c r="ASO88" s="120"/>
      <c r="ASP88" s="120"/>
      <c r="ASQ88" s="120"/>
      <c r="ASR88" s="120"/>
      <c r="ASS88" s="120"/>
      <c r="AST88" s="120"/>
      <c r="ASU88" s="120"/>
      <c r="ASV88" s="120"/>
      <c r="ASW88" s="120"/>
      <c r="ASX88" s="120"/>
      <c r="ASY88" s="120"/>
      <c r="ASZ88" s="120"/>
      <c r="ATA88" s="120"/>
      <c r="ATB88" s="120"/>
      <c r="ATC88" s="120"/>
      <c r="ATD88" s="120"/>
      <c r="ATE88" s="120"/>
      <c r="ATF88" s="120"/>
      <c r="ATG88" s="120"/>
      <c r="ATH88" s="120"/>
      <c r="ATI88" s="120"/>
      <c r="ATJ88" s="120"/>
      <c r="ATK88" s="120"/>
      <c r="ATL88" s="120"/>
      <c r="ATM88" s="120"/>
      <c r="ATN88" s="120"/>
      <c r="ATO88" s="120"/>
      <c r="ATP88" s="120"/>
      <c r="ATQ88" s="120"/>
      <c r="ATR88" s="120"/>
      <c r="ATS88" s="120"/>
      <c r="ATT88" s="120"/>
      <c r="ATU88" s="120"/>
      <c r="ATV88" s="120"/>
      <c r="ATW88" s="120"/>
      <c r="ATX88" s="120"/>
      <c r="ATY88" s="120"/>
      <c r="ATZ88" s="120"/>
      <c r="AUA88" s="120"/>
      <c r="AUB88" s="120"/>
      <c r="AUC88" s="120"/>
      <c r="AUD88" s="120"/>
      <c r="AUE88" s="120"/>
      <c r="AUF88" s="120"/>
      <c r="AUG88" s="120"/>
      <c r="AUH88" s="120"/>
      <c r="AUI88" s="120"/>
      <c r="AUJ88" s="120"/>
      <c r="AUK88" s="120"/>
      <c r="AUL88" s="120"/>
      <c r="AUM88" s="120"/>
      <c r="AUN88" s="120"/>
      <c r="AUO88" s="120"/>
      <c r="AUP88" s="120"/>
      <c r="AUQ88" s="120"/>
      <c r="AUR88" s="120"/>
      <c r="AUS88" s="120"/>
      <c r="AUT88" s="120"/>
      <c r="AUU88" s="120"/>
      <c r="AUV88" s="120"/>
      <c r="AUW88" s="120"/>
      <c r="AUX88" s="120"/>
      <c r="AUY88" s="120"/>
      <c r="AUZ88" s="120"/>
      <c r="AVA88" s="120"/>
      <c r="AVB88" s="120"/>
      <c r="AVC88" s="120"/>
      <c r="AVD88" s="120"/>
      <c r="AVE88" s="120"/>
      <c r="AVF88" s="120"/>
      <c r="AVG88" s="120"/>
      <c r="AVH88" s="120"/>
      <c r="AVI88" s="120"/>
      <c r="AVJ88" s="120"/>
      <c r="AVK88" s="120"/>
      <c r="AVL88" s="120"/>
      <c r="AVM88" s="120"/>
      <c r="AVN88" s="120"/>
      <c r="AVO88" s="120"/>
      <c r="AVP88" s="120"/>
      <c r="AVQ88" s="120"/>
      <c r="AVR88" s="120"/>
      <c r="AVS88" s="120"/>
      <c r="AVT88" s="120"/>
      <c r="AVU88" s="120"/>
      <c r="AVV88" s="120"/>
      <c r="AVW88" s="120"/>
      <c r="AVX88" s="120"/>
      <c r="AVY88" s="120"/>
      <c r="AVZ88" s="120"/>
      <c r="AWA88" s="120"/>
      <c r="AWB88" s="120"/>
      <c r="AWC88" s="120"/>
      <c r="AWD88" s="120"/>
      <c r="AWE88" s="120"/>
      <c r="AWF88" s="120"/>
      <c r="AWG88" s="120"/>
      <c r="AWH88" s="120"/>
      <c r="AWI88" s="120"/>
      <c r="AWJ88" s="120"/>
      <c r="AWK88" s="120"/>
      <c r="AWL88" s="120"/>
      <c r="AWM88" s="120"/>
      <c r="AWN88" s="120"/>
      <c r="AWO88" s="120"/>
      <c r="AWP88" s="120"/>
      <c r="AWQ88" s="120"/>
      <c r="AWR88" s="120"/>
      <c r="AWS88" s="120"/>
      <c r="AWT88" s="120"/>
      <c r="AWU88" s="120"/>
      <c r="AWV88" s="120"/>
      <c r="AWW88" s="120"/>
      <c r="AWX88" s="120"/>
      <c r="AWY88" s="120"/>
      <c r="AWZ88" s="120"/>
      <c r="AXA88" s="120"/>
      <c r="AXB88" s="120"/>
      <c r="AXC88" s="120"/>
      <c r="AXD88" s="120"/>
      <c r="AXE88" s="120"/>
      <c r="AXF88" s="120"/>
      <c r="AXG88" s="120"/>
      <c r="AXH88" s="120"/>
      <c r="AXI88" s="120"/>
      <c r="AXJ88" s="120"/>
      <c r="AXK88" s="120"/>
      <c r="AXL88" s="120"/>
      <c r="AXM88" s="120"/>
      <c r="AXN88" s="120"/>
      <c r="AXO88" s="120"/>
      <c r="AXP88" s="120"/>
      <c r="AXQ88" s="120"/>
      <c r="AXR88" s="120"/>
      <c r="AXS88" s="120"/>
      <c r="AXT88" s="120"/>
      <c r="AXU88" s="120"/>
      <c r="AXV88" s="120"/>
      <c r="AXW88" s="120"/>
      <c r="AXX88" s="120"/>
      <c r="AXY88" s="120"/>
      <c r="AXZ88" s="120"/>
      <c r="AYA88" s="120"/>
      <c r="AYB88" s="120"/>
      <c r="AYC88" s="120"/>
      <c r="AYD88" s="120"/>
      <c r="AYE88" s="120"/>
      <c r="AYF88" s="120"/>
      <c r="AYG88" s="120"/>
      <c r="AYH88" s="120"/>
      <c r="AYI88" s="120"/>
      <c r="AYJ88" s="120"/>
      <c r="AYK88" s="120"/>
      <c r="AYL88" s="120"/>
      <c r="AYM88" s="120"/>
      <c r="AYN88" s="120"/>
      <c r="AYO88" s="120"/>
      <c r="AYP88" s="120"/>
      <c r="AYQ88" s="120"/>
      <c r="AYR88" s="120"/>
      <c r="AYS88" s="120"/>
      <c r="AYT88" s="120"/>
      <c r="AYU88" s="120"/>
      <c r="AYV88" s="120"/>
      <c r="AYW88" s="120"/>
      <c r="AYX88" s="120"/>
      <c r="AYY88" s="120"/>
      <c r="AYZ88" s="120"/>
      <c r="AZA88" s="120"/>
      <c r="AZB88" s="120"/>
      <c r="AZC88" s="120"/>
      <c r="AZD88" s="120"/>
      <c r="AZE88" s="120"/>
      <c r="AZF88" s="120"/>
      <c r="AZG88" s="120"/>
      <c r="AZH88" s="120"/>
      <c r="AZI88" s="120"/>
      <c r="AZJ88" s="120"/>
      <c r="AZK88" s="120"/>
      <c r="AZL88" s="120"/>
      <c r="AZM88" s="120"/>
      <c r="AZN88" s="120"/>
      <c r="AZO88" s="120"/>
      <c r="AZP88" s="120"/>
      <c r="AZQ88" s="120"/>
      <c r="AZR88" s="120"/>
      <c r="AZS88" s="120"/>
      <c r="AZT88" s="120"/>
      <c r="AZU88" s="120"/>
      <c r="AZV88" s="120"/>
      <c r="AZW88" s="120"/>
      <c r="AZX88" s="120"/>
      <c r="AZY88" s="120"/>
      <c r="AZZ88" s="120"/>
      <c r="BAA88" s="120"/>
      <c r="BAB88" s="120"/>
      <c r="BAC88" s="120"/>
      <c r="BAD88" s="120"/>
      <c r="BAE88" s="120"/>
      <c r="BAF88" s="120"/>
      <c r="BAG88" s="120"/>
      <c r="BAH88" s="120"/>
      <c r="BAI88" s="120"/>
      <c r="BAJ88" s="120"/>
      <c r="BAK88" s="120"/>
      <c r="BAL88" s="120"/>
      <c r="BAM88" s="120"/>
      <c r="BAN88" s="120"/>
      <c r="BAO88" s="120"/>
      <c r="BAP88" s="120"/>
      <c r="BAQ88" s="120"/>
      <c r="BAR88" s="120"/>
      <c r="BAS88" s="120"/>
      <c r="BAT88" s="120"/>
      <c r="BAU88" s="120"/>
      <c r="BAV88" s="120"/>
      <c r="BAW88" s="120"/>
      <c r="BAX88" s="120"/>
      <c r="BAY88" s="120"/>
      <c r="BAZ88" s="120"/>
      <c r="BBA88" s="120"/>
      <c r="BBB88" s="120"/>
      <c r="BBC88" s="120"/>
      <c r="BBD88" s="120"/>
      <c r="BBE88" s="120"/>
      <c r="BBF88" s="120"/>
      <c r="BBG88" s="120"/>
      <c r="BBH88" s="120"/>
      <c r="BBI88" s="120"/>
      <c r="BBJ88" s="120"/>
      <c r="BBK88" s="120"/>
      <c r="BBL88" s="120"/>
      <c r="BBM88" s="120"/>
      <c r="BBN88" s="120"/>
      <c r="BBO88" s="120"/>
      <c r="BBP88" s="120"/>
      <c r="BBQ88" s="120"/>
      <c r="BBR88" s="120"/>
      <c r="BBS88" s="120"/>
      <c r="BBT88" s="120"/>
      <c r="BBU88" s="120"/>
      <c r="BBV88" s="120"/>
      <c r="BBW88" s="120"/>
      <c r="BBX88" s="120"/>
      <c r="BBY88" s="120"/>
      <c r="BBZ88" s="120"/>
      <c r="BCA88" s="120"/>
      <c r="BCB88" s="120"/>
      <c r="BCC88" s="120"/>
      <c r="BCD88" s="120"/>
      <c r="BCE88" s="120"/>
      <c r="BCF88" s="120"/>
      <c r="BCG88" s="120"/>
      <c r="BCH88" s="120"/>
      <c r="BCI88" s="120"/>
      <c r="BCJ88" s="120"/>
      <c r="BCK88" s="120"/>
      <c r="BCL88" s="120"/>
      <c r="BCM88" s="120"/>
      <c r="BCN88" s="120"/>
      <c r="BCO88" s="120"/>
      <c r="BCP88" s="120"/>
      <c r="BCQ88" s="120"/>
      <c r="BCR88" s="120"/>
      <c r="BCS88" s="120"/>
      <c r="BCT88" s="120"/>
      <c r="BCU88" s="120"/>
      <c r="BCV88" s="120"/>
      <c r="BCW88" s="120"/>
      <c r="BCX88" s="120"/>
      <c r="BCY88" s="120"/>
      <c r="BCZ88" s="120"/>
      <c r="BDA88" s="120"/>
      <c r="BDB88" s="120"/>
      <c r="BDC88" s="120"/>
      <c r="BDD88" s="120"/>
      <c r="BDE88" s="120"/>
      <c r="BDF88" s="120"/>
      <c r="BDG88" s="120"/>
      <c r="BDH88" s="120"/>
      <c r="BDI88" s="120"/>
      <c r="BDJ88" s="120"/>
      <c r="BDK88" s="120"/>
      <c r="BDL88" s="120"/>
      <c r="BDM88" s="120"/>
      <c r="BDN88" s="120"/>
      <c r="BDO88" s="120"/>
      <c r="BDP88" s="120"/>
      <c r="BDQ88" s="120"/>
      <c r="BDR88" s="120"/>
      <c r="BDS88" s="120"/>
      <c r="BDT88" s="120"/>
      <c r="BDU88" s="120"/>
      <c r="BDV88" s="120"/>
      <c r="BDW88" s="120"/>
      <c r="BDX88" s="120"/>
      <c r="BDY88" s="120"/>
      <c r="BDZ88" s="120"/>
      <c r="BEA88" s="120"/>
      <c r="BEB88" s="120"/>
      <c r="BEC88" s="120"/>
      <c r="BED88" s="120"/>
      <c r="BEE88" s="120"/>
      <c r="BEF88" s="120"/>
      <c r="BEG88" s="120"/>
      <c r="BEH88" s="120"/>
      <c r="BEI88" s="120"/>
      <c r="BEJ88" s="120"/>
      <c r="BEK88" s="120"/>
      <c r="BEL88" s="120"/>
      <c r="BEM88" s="120"/>
      <c r="BEN88" s="120"/>
      <c r="BEO88" s="120"/>
      <c r="BEP88" s="120"/>
      <c r="BEQ88" s="120"/>
      <c r="BER88" s="120"/>
      <c r="BES88" s="120"/>
      <c r="BET88" s="120"/>
      <c r="BEU88" s="120"/>
      <c r="BEV88" s="120"/>
      <c r="BEW88" s="120"/>
      <c r="BEX88" s="120"/>
      <c r="BEY88" s="120"/>
      <c r="BEZ88" s="120"/>
      <c r="BFA88" s="120"/>
      <c r="BFB88" s="120"/>
      <c r="BFC88" s="120"/>
      <c r="BFD88" s="120"/>
      <c r="BFE88" s="120"/>
      <c r="BFF88" s="120"/>
      <c r="BFG88" s="120"/>
      <c r="BFH88" s="120"/>
      <c r="BFI88" s="120"/>
      <c r="BFJ88" s="120"/>
      <c r="BFK88" s="120"/>
      <c r="BFL88" s="120"/>
      <c r="BFM88" s="120"/>
      <c r="BFN88" s="120"/>
      <c r="BFO88" s="120"/>
      <c r="BFP88" s="120"/>
      <c r="BFQ88" s="120"/>
      <c r="BFR88" s="120"/>
      <c r="BFS88" s="120"/>
      <c r="BFT88" s="120"/>
      <c r="BFU88" s="120"/>
      <c r="BFV88" s="120"/>
      <c r="BFW88" s="120"/>
      <c r="BFX88" s="120"/>
      <c r="BFY88" s="120"/>
      <c r="BFZ88" s="120"/>
      <c r="BGA88" s="120"/>
      <c r="BGB88" s="120"/>
      <c r="BGC88" s="120"/>
      <c r="BGD88" s="120"/>
      <c r="BGE88" s="120"/>
      <c r="BGF88" s="120"/>
      <c r="BGG88" s="120"/>
      <c r="BGH88" s="120"/>
      <c r="BGI88" s="120"/>
      <c r="BGJ88" s="120"/>
      <c r="BGK88" s="120"/>
      <c r="BGL88" s="120"/>
      <c r="BGM88" s="120"/>
      <c r="BGN88" s="120"/>
      <c r="BGO88" s="120"/>
      <c r="BGP88" s="120"/>
      <c r="BGQ88" s="120"/>
      <c r="BGR88" s="120"/>
      <c r="BGS88" s="120"/>
      <c r="BGT88" s="120"/>
      <c r="BGU88" s="120"/>
      <c r="BGV88" s="120"/>
      <c r="BGW88" s="120"/>
      <c r="BGX88" s="120"/>
      <c r="BGY88" s="120"/>
      <c r="BGZ88" s="120"/>
      <c r="BHA88" s="120"/>
      <c r="BHB88" s="120"/>
      <c r="BHC88" s="120"/>
      <c r="BHD88" s="120"/>
      <c r="BHE88" s="120"/>
      <c r="BHF88" s="120"/>
      <c r="BHG88" s="120"/>
      <c r="BHH88" s="120"/>
      <c r="BHI88" s="120"/>
      <c r="BHJ88" s="120"/>
      <c r="BHK88" s="120"/>
      <c r="BHL88" s="120"/>
      <c r="BHM88" s="120"/>
      <c r="BHN88" s="120"/>
      <c r="BHO88" s="120"/>
      <c r="BHP88" s="120"/>
      <c r="BHQ88" s="120"/>
      <c r="BHR88" s="120"/>
      <c r="BHS88" s="120"/>
      <c r="BHT88" s="120"/>
      <c r="BHU88" s="120"/>
      <c r="BHV88" s="120"/>
      <c r="BHW88" s="120"/>
      <c r="BHX88" s="120"/>
      <c r="BHY88" s="120"/>
      <c r="BHZ88" s="120"/>
      <c r="BIA88" s="120"/>
      <c r="BIB88" s="120"/>
      <c r="BIC88" s="120"/>
      <c r="BID88" s="120"/>
      <c r="BIE88" s="120"/>
      <c r="BIF88" s="120"/>
      <c r="BIG88" s="120"/>
      <c r="BIH88" s="120"/>
      <c r="BII88" s="120"/>
      <c r="BIJ88" s="120"/>
      <c r="BIK88" s="120"/>
      <c r="BIL88" s="120"/>
      <c r="BIM88" s="120"/>
      <c r="BIN88" s="120"/>
      <c r="BIO88" s="120"/>
      <c r="BIP88" s="120"/>
      <c r="BIQ88" s="120"/>
      <c r="BIR88" s="120"/>
      <c r="BIS88" s="120"/>
      <c r="BIT88" s="120"/>
      <c r="BIU88" s="120"/>
      <c r="BIV88" s="120"/>
      <c r="BIW88" s="120"/>
      <c r="BIX88" s="120"/>
      <c r="BIY88" s="120"/>
      <c r="BIZ88" s="120"/>
      <c r="BJA88" s="120"/>
      <c r="BJB88" s="120"/>
      <c r="BJC88" s="120"/>
      <c r="BJD88" s="120"/>
      <c r="BJE88" s="120"/>
      <c r="BJF88" s="120"/>
      <c r="BJG88" s="120"/>
      <c r="BJH88" s="120"/>
      <c r="BJI88" s="120"/>
      <c r="BJJ88" s="120"/>
      <c r="BJK88" s="120"/>
      <c r="BJL88" s="120"/>
      <c r="BJM88" s="120"/>
      <c r="BJN88" s="120"/>
      <c r="BJO88" s="120"/>
      <c r="BJP88" s="120"/>
      <c r="BJQ88" s="120"/>
      <c r="BJR88" s="120"/>
      <c r="BJS88" s="120"/>
      <c r="BJT88" s="120"/>
      <c r="BJU88" s="120"/>
      <c r="BJV88" s="120"/>
      <c r="BJW88" s="120"/>
      <c r="BJX88" s="120"/>
      <c r="BJY88" s="120"/>
      <c r="BJZ88" s="120"/>
      <c r="BKA88" s="120"/>
      <c r="BKB88" s="120"/>
      <c r="BKC88" s="120"/>
      <c r="BKD88" s="120"/>
      <c r="BKE88" s="120"/>
      <c r="BKF88" s="120"/>
      <c r="BKG88" s="120"/>
      <c r="BKH88" s="120"/>
      <c r="BKI88" s="120"/>
      <c r="BKJ88" s="120"/>
      <c r="BKK88" s="120"/>
      <c r="BKL88" s="120"/>
      <c r="BKM88" s="120"/>
      <c r="BKN88" s="120"/>
      <c r="BKO88" s="120"/>
      <c r="BKP88" s="120"/>
      <c r="BKQ88" s="120"/>
      <c r="BKR88" s="120"/>
      <c r="BKS88" s="120"/>
      <c r="BKT88" s="120"/>
      <c r="BKU88" s="120"/>
      <c r="BKV88" s="120"/>
      <c r="BKW88" s="120"/>
      <c r="BKX88" s="120"/>
      <c r="BKY88" s="120"/>
      <c r="BKZ88" s="120"/>
      <c r="BLA88" s="120"/>
      <c r="BLB88" s="120"/>
      <c r="BLC88" s="120"/>
      <c r="BLD88" s="120"/>
      <c r="BLE88" s="120"/>
      <c r="BLF88" s="120"/>
      <c r="BLG88" s="120"/>
      <c r="BLH88" s="120"/>
      <c r="BLI88" s="120"/>
      <c r="BLJ88" s="120"/>
      <c r="BLK88" s="120"/>
      <c r="BLL88" s="120"/>
      <c r="BLM88" s="120"/>
      <c r="BLN88" s="120"/>
      <c r="BLO88" s="120"/>
      <c r="BLP88" s="120"/>
      <c r="BLQ88" s="120"/>
      <c r="BLR88" s="120"/>
      <c r="BLS88" s="120"/>
      <c r="BLT88" s="120"/>
      <c r="BLU88" s="120"/>
      <c r="BLV88" s="120"/>
      <c r="BLW88" s="120"/>
      <c r="BLX88" s="120"/>
      <c r="BLY88" s="120"/>
      <c r="BLZ88" s="120"/>
      <c r="BMA88" s="120"/>
      <c r="BMB88" s="120"/>
      <c r="BMC88" s="120"/>
      <c r="BMD88" s="120"/>
      <c r="BME88" s="120"/>
      <c r="BMF88" s="120"/>
      <c r="BMG88" s="120"/>
      <c r="BMH88" s="120"/>
      <c r="BMI88" s="120"/>
      <c r="BMJ88" s="120"/>
      <c r="BMK88" s="120"/>
      <c r="BML88" s="120"/>
      <c r="BMM88" s="120"/>
      <c r="BMN88" s="120"/>
      <c r="BMO88" s="120"/>
      <c r="BMP88" s="120"/>
      <c r="BMQ88" s="120"/>
      <c r="BMR88" s="120"/>
      <c r="BMS88" s="120"/>
      <c r="BMT88" s="120"/>
      <c r="BMU88" s="120"/>
      <c r="BMV88" s="120"/>
      <c r="BMW88" s="120"/>
      <c r="BMX88" s="120"/>
      <c r="BMY88" s="120"/>
      <c r="BMZ88" s="120"/>
      <c r="BNA88" s="120"/>
      <c r="BNB88" s="120"/>
      <c r="BNC88" s="120"/>
      <c r="BND88" s="120"/>
      <c r="BNE88" s="120"/>
      <c r="BNF88" s="120"/>
      <c r="BNG88" s="120"/>
      <c r="BNH88" s="120"/>
      <c r="BNI88" s="120"/>
      <c r="BNJ88" s="120"/>
      <c r="BNK88" s="120"/>
      <c r="BNL88" s="120"/>
      <c r="BNM88" s="120"/>
      <c r="BNN88" s="120"/>
      <c r="BNO88" s="120"/>
      <c r="BNP88" s="120"/>
      <c r="BNQ88" s="120"/>
      <c r="BNR88" s="120"/>
      <c r="BNS88" s="120"/>
      <c r="BNT88" s="120"/>
      <c r="BNU88" s="120"/>
      <c r="BNV88" s="120"/>
      <c r="BNW88" s="120"/>
      <c r="BNX88" s="120"/>
      <c r="BNY88" s="120"/>
      <c r="BNZ88" s="120"/>
      <c r="BOA88" s="120"/>
      <c r="BOB88" s="120"/>
      <c r="BOC88" s="120"/>
      <c r="BOD88" s="120"/>
      <c r="BOE88" s="120"/>
      <c r="BOF88" s="120"/>
      <c r="BOG88" s="120"/>
      <c r="BOH88" s="120"/>
      <c r="BOI88" s="120"/>
      <c r="BOJ88" s="120"/>
      <c r="BOK88" s="120"/>
      <c r="BOL88" s="120"/>
      <c r="BOM88" s="120"/>
      <c r="BON88" s="120"/>
      <c r="BOO88" s="120"/>
      <c r="BOP88" s="120"/>
      <c r="BOQ88" s="120"/>
      <c r="BOR88" s="120"/>
      <c r="BOS88" s="120"/>
      <c r="BOT88" s="120"/>
      <c r="BOU88" s="120"/>
      <c r="BOV88" s="120"/>
      <c r="BOW88" s="120"/>
      <c r="BOX88" s="120"/>
      <c r="BOY88" s="120"/>
      <c r="BOZ88" s="120"/>
      <c r="BPA88" s="120"/>
      <c r="BPB88" s="120"/>
      <c r="BPC88" s="120"/>
      <c r="BPD88" s="120"/>
      <c r="BPE88" s="120"/>
      <c r="BPF88" s="120"/>
      <c r="BPG88" s="120"/>
      <c r="BPH88" s="120"/>
      <c r="BPI88" s="120"/>
      <c r="BPJ88" s="120"/>
      <c r="BPK88" s="120"/>
      <c r="BPL88" s="120"/>
      <c r="BPM88" s="120"/>
      <c r="BPN88" s="120"/>
      <c r="BPO88" s="120"/>
      <c r="BPP88" s="120"/>
      <c r="BPQ88" s="120"/>
      <c r="BPR88" s="120"/>
      <c r="BPS88" s="120"/>
      <c r="BPT88" s="120"/>
      <c r="BPU88" s="120"/>
      <c r="BPV88" s="120"/>
      <c r="BPW88" s="120"/>
      <c r="BPX88" s="120"/>
      <c r="BPY88" s="120"/>
      <c r="BPZ88" s="120"/>
      <c r="BQA88" s="120"/>
      <c r="BQB88" s="120"/>
      <c r="BQC88" s="120"/>
      <c r="BQD88" s="120"/>
      <c r="BQE88" s="120"/>
      <c r="BQF88" s="120"/>
      <c r="BQG88" s="120"/>
      <c r="BQH88" s="120"/>
      <c r="BQI88" s="120"/>
      <c r="BQJ88" s="120"/>
      <c r="BQK88" s="120"/>
      <c r="BQL88" s="120"/>
      <c r="BQM88" s="120"/>
      <c r="BQN88" s="120"/>
      <c r="BQO88" s="120"/>
      <c r="BQP88" s="120"/>
      <c r="BQQ88" s="120"/>
      <c r="BQR88" s="120"/>
      <c r="BQS88" s="120"/>
      <c r="BQT88" s="120"/>
      <c r="BQU88" s="120"/>
      <c r="BQV88" s="120"/>
      <c r="BQW88" s="120"/>
      <c r="BQX88" s="120"/>
      <c r="BQY88" s="120"/>
      <c r="BQZ88" s="120"/>
      <c r="BRA88" s="120"/>
      <c r="BRB88" s="120"/>
      <c r="BRC88" s="120"/>
      <c r="BRD88" s="120"/>
      <c r="BRE88" s="120"/>
      <c r="BRF88" s="120"/>
      <c r="BRG88" s="120"/>
      <c r="BRH88" s="120"/>
      <c r="BRI88" s="120"/>
      <c r="BRJ88" s="120"/>
      <c r="BRK88" s="120"/>
      <c r="BRL88" s="120"/>
      <c r="BRM88" s="120"/>
      <c r="BRN88" s="120"/>
      <c r="BRO88" s="120"/>
      <c r="BRP88" s="120"/>
      <c r="BRQ88" s="120"/>
      <c r="BRR88" s="120"/>
      <c r="BRS88" s="120"/>
      <c r="BRT88" s="120"/>
      <c r="BRU88" s="120"/>
      <c r="BRV88" s="120"/>
      <c r="BRW88" s="120"/>
      <c r="BRX88" s="120"/>
      <c r="BRY88" s="120"/>
      <c r="BRZ88" s="120"/>
      <c r="BSA88" s="120"/>
      <c r="BSB88" s="120"/>
      <c r="BSC88" s="120"/>
      <c r="BSD88" s="120"/>
      <c r="BSE88" s="120"/>
      <c r="BSF88" s="120"/>
      <c r="BSG88" s="120"/>
      <c r="BSH88" s="120"/>
      <c r="BSI88" s="120"/>
      <c r="BSJ88" s="120"/>
      <c r="BSK88" s="120"/>
      <c r="BSL88" s="120"/>
      <c r="BSM88" s="120"/>
      <c r="BSN88" s="120"/>
      <c r="BSO88" s="120"/>
      <c r="BSP88" s="120"/>
      <c r="BSQ88" s="120"/>
      <c r="BSR88" s="120"/>
      <c r="BSS88" s="120"/>
      <c r="BST88" s="120"/>
      <c r="BSU88" s="120"/>
      <c r="BSV88" s="120"/>
      <c r="BSW88" s="120"/>
      <c r="BSX88" s="120"/>
      <c r="BSY88" s="120"/>
      <c r="BSZ88" s="120"/>
      <c r="BTA88" s="120"/>
      <c r="BTB88" s="120"/>
      <c r="BTC88" s="120"/>
      <c r="BTD88" s="120"/>
      <c r="BTE88" s="120"/>
      <c r="BTF88" s="120"/>
      <c r="BTG88" s="120"/>
      <c r="BTH88" s="120"/>
      <c r="BTI88" s="120"/>
      <c r="BTJ88" s="120"/>
      <c r="BTK88" s="120"/>
      <c r="BTL88" s="120"/>
      <c r="BTM88" s="120"/>
      <c r="BTN88" s="120"/>
      <c r="BTO88" s="120"/>
      <c r="BTP88" s="120"/>
      <c r="BTQ88" s="120"/>
      <c r="BTR88" s="120"/>
      <c r="BTS88" s="120"/>
      <c r="BTT88" s="120"/>
      <c r="BTU88" s="120"/>
      <c r="BTV88" s="120"/>
      <c r="BTW88" s="120"/>
      <c r="BTX88" s="120"/>
      <c r="BTY88" s="120"/>
      <c r="BTZ88" s="120"/>
      <c r="BUA88" s="120"/>
      <c r="BUB88" s="120"/>
      <c r="BUC88" s="120"/>
      <c r="BUD88" s="120"/>
      <c r="BUE88" s="120"/>
      <c r="BUF88" s="120"/>
      <c r="BUG88" s="120"/>
      <c r="BUH88" s="120"/>
      <c r="BUI88" s="120"/>
      <c r="BUJ88" s="120"/>
      <c r="BUK88" s="120"/>
      <c r="BUL88" s="120"/>
      <c r="BUM88" s="120"/>
      <c r="BUN88" s="120"/>
      <c r="BUO88" s="120"/>
      <c r="BUP88" s="120"/>
      <c r="BUQ88" s="120"/>
      <c r="BUR88" s="120"/>
      <c r="BUS88" s="120"/>
      <c r="BUT88" s="120"/>
      <c r="BUU88" s="120"/>
      <c r="BUV88" s="120"/>
      <c r="BUW88" s="120"/>
      <c r="BUX88" s="120"/>
      <c r="BUY88" s="120"/>
      <c r="BUZ88" s="120"/>
      <c r="BVA88" s="120"/>
      <c r="BVB88" s="120"/>
      <c r="BVC88" s="120"/>
      <c r="BVD88" s="120"/>
      <c r="BVE88" s="120"/>
      <c r="BVF88" s="120"/>
      <c r="BVG88" s="120"/>
      <c r="BVH88" s="120"/>
      <c r="BVI88" s="120"/>
      <c r="BVJ88" s="120"/>
      <c r="BVK88" s="120"/>
      <c r="BVL88" s="120"/>
      <c r="BVM88" s="120"/>
      <c r="BVN88" s="120"/>
      <c r="BVO88" s="120"/>
      <c r="BVP88" s="120"/>
      <c r="BVQ88" s="120"/>
      <c r="BVR88" s="120"/>
      <c r="BVS88" s="120"/>
      <c r="BVT88" s="120"/>
      <c r="BVU88" s="120"/>
      <c r="BVV88" s="120"/>
      <c r="BVW88" s="120"/>
      <c r="BVX88" s="120"/>
      <c r="BVY88" s="120"/>
      <c r="BVZ88" s="120"/>
      <c r="BWA88" s="120"/>
      <c r="BWB88" s="120"/>
      <c r="BWC88" s="120"/>
      <c r="BWD88" s="120"/>
      <c r="BWE88" s="120"/>
      <c r="BWF88" s="120"/>
      <c r="BWG88" s="120"/>
      <c r="BWH88" s="120"/>
      <c r="BWI88" s="120"/>
      <c r="BWJ88" s="120"/>
      <c r="BWK88" s="120"/>
      <c r="BWL88" s="120"/>
      <c r="BWM88" s="120"/>
      <c r="BWN88" s="120"/>
      <c r="BWO88" s="120"/>
      <c r="BWP88" s="120"/>
      <c r="BWQ88" s="120"/>
      <c r="BWR88" s="120"/>
      <c r="BWS88" s="120"/>
      <c r="BWT88" s="120"/>
      <c r="BWU88" s="120"/>
      <c r="BWV88" s="120"/>
      <c r="BWW88" s="120"/>
      <c r="BWX88" s="120"/>
      <c r="BWY88" s="120"/>
      <c r="BWZ88" s="120"/>
      <c r="BXA88" s="120"/>
      <c r="BXB88" s="120"/>
      <c r="BXC88" s="120"/>
      <c r="BXD88" s="120"/>
      <c r="BXE88" s="120"/>
      <c r="BXF88" s="120"/>
      <c r="BXG88" s="120"/>
      <c r="BXH88" s="120"/>
      <c r="BXI88" s="120"/>
      <c r="BXJ88" s="120"/>
      <c r="BXK88" s="120"/>
      <c r="BXL88" s="120"/>
      <c r="BXM88" s="120"/>
      <c r="BXN88" s="120"/>
      <c r="BXO88" s="120"/>
      <c r="BXP88" s="120"/>
      <c r="BXQ88" s="120"/>
      <c r="BXR88" s="120"/>
      <c r="BXS88" s="120"/>
      <c r="BXT88" s="120"/>
      <c r="BXU88" s="120"/>
      <c r="BXV88" s="120"/>
      <c r="BXW88" s="120"/>
      <c r="BXX88" s="120"/>
      <c r="BXY88" s="120"/>
      <c r="BXZ88" s="120"/>
      <c r="BYA88" s="120"/>
      <c r="BYB88" s="120"/>
      <c r="BYC88" s="120"/>
      <c r="BYD88" s="120"/>
      <c r="BYE88" s="120"/>
      <c r="BYF88" s="120"/>
      <c r="BYG88" s="120"/>
      <c r="BYH88" s="120"/>
      <c r="BYI88" s="120"/>
      <c r="BYJ88" s="120"/>
      <c r="BYK88" s="120"/>
      <c r="BYL88" s="120"/>
      <c r="BYM88" s="120"/>
      <c r="BYN88" s="120"/>
      <c r="BYO88" s="120"/>
      <c r="BYP88" s="120"/>
      <c r="BYQ88" s="120"/>
      <c r="BYR88" s="120"/>
      <c r="BYS88" s="120"/>
      <c r="BYT88" s="120"/>
      <c r="BYU88" s="120"/>
      <c r="BYV88" s="120"/>
      <c r="BYW88" s="120"/>
      <c r="BYX88" s="120"/>
      <c r="BYY88" s="120"/>
      <c r="BYZ88" s="120"/>
      <c r="BZA88" s="120"/>
      <c r="BZB88" s="120"/>
      <c r="BZC88" s="120"/>
      <c r="BZD88" s="120"/>
      <c r="BZE88" s="120"/>
      <c r="BZF88" s="120"/>
      <c r="BZG88" s="120"/>
      <c r="BZH88" s="120"/>
      <c r="BZI88" s="120"/>
      <c r="BZJ88" s="120"/>
      <c r="BZK88" s="120"/>
      <c r="BZL88" s="120"/>
      <c r="BZM88" s="120"/>
      <c r="BZN88" s="120"/>
      <c r="BZO88" s="120"/>
      <c r="BZP88" s="120"/>
      <c r="BZQ88" s="120"/>
      <c r="BZR88" s="120"/>
      <c r="BZS88" s="120"/>
      <c r="BZT88" s="120"/>
      <c r="BZU88" s="120"/>
      <c r="BZV88" s="120"/>
      <c r="BZW88" s="120"/>
      <c r="BZX88" s="120"/>
      <c r="BZY88" s="120"/>
      <c r="BZZ88" s="120"/>
      <c r="CAA88" s="120"/>
      <c r="CAB88" s="120"/>
      <c r="CAC88" s="120"/>
      <c r="CAD88" s="120"/>
      <c r="CAE88" s="120"/>
      <c r="CAF88" s="120"/>
      <c r="CAG88" s="120"/>
      <c r="CAH88" s="120"/>
      <c r="CAI88" s="120"/>
      <c r="CAJ88" s="120"/>
      <c r="CAK88" s="120"/>
      <c r="CAL88" s="120"/>
      <c r="CAM88" s="120"/>
      <c r="CAN88" s="120"/>
      <c r="CAO88" s="120"/>
      <c r="CAP88" s="120"/>
      <c r="CAQ88" s="120"/>
      <c r="CAR88" s="120"/>
      <c r="CAS88" s="120"/>
      <c r="CAT88" s="120"/>
      <c r="CAU88" s="120"/>
      <c r="CAV88" s="120"/>
      <c r="CAW88" s="120"/>
      <c r="CAX88" s="120"/>
      <c r="CAY88" s="120"/>
      <c r="CAZ88" s="120"/>
      <c r="CBA88" s="120"/>
      <c r="CBB88" s="120"/>
      <c r="CBC88" s="120"/>
      <c r="CBD88" s="120"/>
      <c r="CBE88" s="120"/>
      <c r="CBF88" s="120"/>
      <c r="CBG88" s="120"/>
      <c r="CBH88" s="120"/>
      <c r="CBI88" s="120"/>
      <c r="CBJ88" s="120"/>
      <c r="CBK88" s="120"/>
      <c r="CBL88" s="120"/>
      <c r="CBM88" s="120"/>
      <c r="CBN88" s="120"/>
      <c r="CBO88" s="120"/>
      <c r="CBP88" s="120"/>
      <c r="CBQ88" s="120"/>
      <c r="CBR88" s="120"/>
      <c r="CBS88" s="120"/>
      <c r="CBT88" s="120"/>
      <c r="CBU88" s="120"/>
      <c r="CBV88" s="120"/>
      <c r="CBW88" s="120"/>
      <c r="CBX88" s="120"/>
      <c r="CBY88" s="120"/>
      <c r="CBZ88" s="120"/>
      <c r="CCA88" s="120"/>
      <c r="CCB88" s="120"/>
      <c r="CCC88" s="120"/>
      <c r="CCD88" s="120"/>
      <c r="CCE88" s="120"/>
      <c r="CCF88" s="120"/>
      <c r="CCG88" s="120"/>
      <c r="CCH88" s="120"/>
      <c r="CCI88" s="120"/>
      <c r="CCJ88" s="120"/>
      <c r="CCK88" s="120"/>
      <c r="CCL88" s="120"/>
      <c r="CCM88" s="120"/>
      <c r="CCN88" s="120"/>
      <c r="CCO88" s="120"/>
      <c r="CCP88" s="120"/>
      <c r="CCQ88" s="120"/>
      <c r="CCR88" s="120"/>
      <c r="CCS88" s="120"/>
      <c r="CCT88" s="120"/>
      <c r="CCU88" s="120"/>
      <c r="CCV88" s="120"/>
      <c r="CCW88" s="120"/>
      <c r="CCX88" s="120"/>
      <c r="CCY88" s="120"/>
      <c r="CCZ88" s="120"/>
      <c r="CDA88" s="120"/>
      <c r="CDB88" s="120"/>
      <c r="CDC88" s="120"/>
      <c r="CDD88" s="120"/>
      <c r="CDE88" s="120"/>
      <c r="CDF88" s="120"/>
      <c r="CDG88" s="120"/>
      <c r="CDH88" s="120"/>
      <c r="CDI88" s="120"/>
      <c r="CDJ88" s="120"/>
      <c r="CDK88" s="120"/>
      <c r="CDL88" s="120"/>
      <c r="CDM88" s="120"/>
      <c r="CDN88" s="120"/>
      <c r="CDO88" s="120"/>
      <c r="CDP88" s="120"/>
      <c r="CDQ88" s="120"/>
      <c r="CDR88" s="120"/>
      <c r="CDS88" s="120"/>
      <c r="CDT88" s="120"/>
      <c r="CDU88" s="120"/>
      <c r="CDV88" s="120"/>
      <c r="CDW88" s="120"/>
      <c r="CDX88" s="120"/>
      <c r="CDY88" s="120"/>
      <c r="CDZ88" s="120"/>
      <c r="CEA88" s="120"/>
      <c r="CEB88" s="120"/>
      <c r="CEC88" s="120"/>
      <c r="CED88" s="120"/>
      <c r="CEE88" s="120"/>
      <c r="CEF88" s="120"/>
      <c r="CEG88" s="120"/>
      <c r="CEH88" s="120"/>
      <c r="CEI88" s="120"/>
      <c r="CEJ88" s="120"/>
      <c r="CEK88" s="120"/>
      <c r="CEL88" s="120"/>
      <c r="CEM88" s="120"/>
      <c r="CEN88" s="120"/>
      <c r="CEO88" s="120"/>
      <c r="CEP88" s="120"/>
      <c r="CEQ88" s="120"/>
      <c r="CER88" s="120"/>
      <c r="CES88" s="120"/>
      <c r="CET88" s="120"/>
      <c r="CEU88" s="120"/>
      <c r="CEV88" s="120"/>
      <c r="CEW88" s="120"/>
      <c r="CEX88" s="120"/>
      <c r="CEY88" s="120"/>
      <c r="CEZ88" s="120"/>
      <c r="CFA88" s="120"/>
      <c r="CFB88" s="120"/>
      <c r="CFC88" s="120"/>
      <c r="CFD88" s="120"/>
      <c r="CFE88" s="120"/>
      <c r="CFF88" s="120"/>
      <c r="CFG88" s="120"/>
      <c r="CFH88" s="120"/>
      <c r="CFI88" s="120"/>
      <c r="CFJ88" s="120"/>
      <c r="CFK88" s="120"/>
      <c r="CFL88" s="120"/>
      <c r="CFM88" s="120"/>
      <c r="CFN88" s="120"/>
      <c r="CFO88" s="120"/>
      <c r="CFP88" s="120"/>
      <c r="CFQ88" s="120"/>
      <c r="CFR88" s="120"/>
      <c r="CFS88" s="120"/>
      <c r="CFT88" s="120"/>
      <c r="CFU88" s="120"/>
      <c r="CFV88" s="120"/>
      <c r="CFW88" s="120"/>
      <c r="CFX88" s="120"/>
      <c r="CFY88" s="120"/>
      <c r="CFZ88" s="120"/>
      <c r="CGA88" s="120"/>
      <c r="CGB88" s="120"/>
      <c r="CGC88" s="120"/>
      <c r="CGD88" s="120"/>
      <c r="CGE88" s="120"/>
      <c r="CGF88" s="120"/>
      <c r="CGG88" s="120"/>
      <c r="CGH88" s="120"/>
      <c r="CGI88" s="120"/>
      <c r="CGJ88" s="120"/>
      <c r="CGK88" s="120"/>
      <c r="CGL88" s="120"/>
      <c r="CGM88" s="120"/>
      <c r="CGN88" s="120"/>
      <c r="CGO88" s="120"/>
      <c r="CGP88" s="120"/>
      <c r="CGQ88" s="120"/>
      <c r="CGR88" s="120"/>
      <c r="CGS88" s="120"/>
      <c r="CGT88" s="120"/>
      <c r="CGU88" s="120"/>
      <c r="CGV88" s="120"/>
      <c r="CGW88" s="120"/>
      <c r="CGX88" s="120"/>
      <c r="CGY88" s="120"/>
      <c r="CGZ88" s="120"/>
      <c r="CHA88" s="120"/>
      <c r="CHB88" s="120"/>
      <c r="CHC88" s="120"/>
      <c r="CHD88" s="120"/>
      <c r="CHE88" s="120"/>
      <c r="CHF88" s="120"/>
      <c r="CHG88" s="120"/>
      <c r="CHH88" s="120"/>
      <c r="CHI88" s="120"/>
      <c r="CHJ88" s="120"/>
      <c r="CHK88" s="120"/>
      <c r="CHL88" s="120"/>
      <c r="CHM88" s="120"/>
      <c r="CHN88" s="120"/>
      <c r="CHO88" s="120"/>
      <c r="CHP88" s="120"/>
      <c r="CHQ88" s="120"/>
      <c r="CHR88" s="120"/>
      <c r="CHS88" s="120"/>
      <c r="CHT88" s="120"/>
      <c r="CHU88" s="120"/>
      <c r="CHV88" s="120"/>
      <c r="CHW88" s="120"/>
      <c r="CHX88" s="120"/>
      <c r="CHY88" s="120"/>
      <c r="CHZ88" s="120"/>
      <c r="CIA88" s="120"/>
      <c r="CIB88" s="120"/>
      <c r="CIC88" s="120"/>
      <c r="CID88" s="120"/>
      <c r="CIE88" s="120"/>
      <c r="CIF88" s="120"/>
      <c r="CIG88" s="120"/>
      <c r="CIH88" s="120"/>
      <c r="CII88" s="120"/>
      <c r="CIJ88" s="120"/>
      <c r="CIK88" s="120"/>
      <c r="CIL88" s="120"/>
      <c r="CIM88" s="120"/>
      <c r="CIN88" s="120"/>
      <c r="CIO88" s="120"/>
      <c r="CIP88" s="120"/>
      <c r="CIQ88" s="120"/>
      <c r="CIR88" s="120"/>
      <c r="CIS88" s="120"/>
      <c r="CIT88" s="120"/>
      <c r="CIU88" s="120"/>
      <c r="CIV88" s="120"/>
      <c r="CIW88" s="120"/>
      <c r="CIX88" s="120"/>
      <c r="CIY88" s="120"/>
      <c r="CIZ88" s="120"/>
      <c r="CJA88" s="120"/>
      <c r="CJB88" s="120"/>
      <c r="CJC88" s="120"/>
      <c r="CJD88" s="120"/>
      <c r="CJE88" s="120"/>
      <c r="CJF88" s="120"/>
      <c r="CJG88" s="120"/>
      <c r="CJH88" s="120"/>
      <c r="CJI88" s="120"/>
      <c r="CJJ88" s="120"/>
      <c r="CJK88" s="120"/>
      <c r="CJL88" s="120"/>
      <c r="CJM88" s="120"/>
      <c r="CJN88" s="120"/>
      <c r="CJO88" s="120"/>
      <c r="CJP88" s="120"/>
      <c r="CJQ88" s="120"/>
      <c r="CJR88" s="120"/>
      <c r="CJS88" s="120"/>
      <c r="CJT88" s="120"/>
      <c r="CJU88" s="120"/>
      <c r="CJV88" s="120"/>
      <c r="CJW88" s="120"/>
      <c r="CJX88" s="120"/>
      <c r="CJY88" s="120"/>
      <c r="CJZ88" s="120"/>
      <c r="CKA88" s="120"/>
      <c r="CKB88" s="120"/>
      <c r="CKC88" s="120"/>
      <c r="CKD88" s="120"/>
      <c r="CKE88" s="120"/>
      <c r="CKF88" s="120"/>
      <c r="CKG88" s="120"/>
      <c r="CKH88" s="120"/>
      <c r="CKI88" s="120"/>
      <c r="CKJ88" s="120"/>
      <c r="CKK88" s="120"/>
      <c r="CKL88" s="120"/>
      <c r="CKM88" s="120"/>
      <c r="CKN88" s="120"/>
      <c r="CKO88" s="120"/>
      <c r="CKP88" s="120"/>
      <c r="CKQ88" s="120"/>
      <c r="CKR88" s="120"/>
      <c r="CKS88" s="120"/>
      <c r="CKT88" s="120"/>
      <c r="CKU88" s="120"/>
      <c r="CKV88" s="120"/>
      <c r="CKW88" s="120"/>
      <c r="CKX88" s="120"/>
      <c r="CKY88" s="120"/>
      <c r="CKZ88" s="120"/>
      <c r="CLA88" s="120"/>
      <c r="CLB88" s="120"/>
      <c r="CLC88" s="120"/>
      <c r="CLD88" s="120"/>
      <c r="CLE88" s="120"/>
      <c r="CLF88" s="120"/>
      <c r="CLG88" s="120"/>
      <c r="CLH88" s="120"/>
      <c r="CLI88" s="120"/>
      <c r="CLJ88" s="120"/>
      <c r="CLK88" s="120"/>
      <c r="CLL88" s="120"/>
      <c r="CLM88" s="120"/>
      <c r="CLN88" s="120"/>
      <c r="CLO88" s="120"/>
      <c r="CLP88" s="120"/>
      <c r="CLQ88" s="120"/>
      <c r="CLR88" s="120"/>
      <c r="CLS88" s="120"/>
      <c r="CLT88" s="120"/>
      <c r="CLU88" s="120"/>
      <c r="CLV88" s="120"/>
      <c r="CLW88" s="120"/>
      <c r="CLX88" s="120"/>
      <c r="CLY88" s="120"/>
      <c r="CLZ88" s="120"/>
      <c r="CMA88" s="120"/>
      <c r="CMB88" s="120"/>
      <c r="CMC88" s="120"/>
      <c r="CMD88" s="120"/>
      <c r="CME88" s="120"/>
      <c r="CMF88" s="120"/>
      <c r="CMG88" s="120"/>
      <c r="CMH88" s="120"/>
      <c r="CMI88" s="120"/>
      <c r="CMJ88" s="120"/>
      <c r="CMK88" s="120"/>
      <c r="CML88" s="120"/>
      <c r="CMM88" s="120"/>
      <c r="CMN88" s="120"/>
      <c r="CMO88" s="120"/>
      <c r="CMP88" s="120"/>
      <c r="CMQ88" s="120"/>
      <c r="CMR88" s="120"/>
      <c r="CMS88" s="120"/>
      <c r="CMT88" s="120"/>
      <c r="CMU88" s="120"/>
      <c r="CMV88" s="120"/>
      <c r="CMW88" s="120"/>
      <c r="CMX88" s="120"/>
      <c r="CMY88" s="120"/>
      <c r="CMZ88" s="120"/>
      <c r="CNA88" s="120"/>
      <c r="CNB88" s="120"/>
      <c r="CNC88" s="120"/>
      <c r="CND88" s="120"/>
      <c r="CNE88" s="120"/>
      <c r="CNF88" s="120"/>
      <c r="CNG88" s="120"/>
      <c r="CNH88" s="120"/>
      <c r="CNI88" s="120"/>
      <c r="CNJ88" s="120"/>
      <c r="CNK88" s="120"/>
      <c r="CNL88" s="120"/>
      <c r="CNM88" s="120"/>
      <c r="CNN88" s="120"/>
      <c r="CNO88" s="120"/>
      <c r="CNP88" s="120"/>
      <c r="CNQ88" s="120"/>
      <c r="CNR88" s="120"/>
      <c r="CNS88" s="120"/>
      <c r="CNT88" s="120"/>
      <c r="CNU88" s="120"/>
      <c r="CNV88" s="120"/>
      <c r="CNW88" s="120"/>
      <c r="CNX88" s="120"/>
      <c r="CNY88" s="120"/>
      <c r="CNZ88" s="120"/>
      <c r="COA88" s="120"/>
      <c r="COB88" s="120"/>
      <c r="COC88" s="120"/>
      <c r="COD88" s="120"/>
      <c r="COE88" s="120"/>
      <c r="COF88" s="120"/>
      <c r="COG88" s="120"/>
      <c r="COH88" s="120"/>
      <c r="COI88" s="120"/>
      <c r="COJ88" s="120"/>
      <c r="COK88" s="120"/>
      <c r="COL88" s="120"/>
      <c r="COM88" s="120"/>
      <c r="CON88" s="120"/>
      <c r="COO88" s="120"/>
      <c r="COP88" s="120"/>
      <c r="COQ88" s="120"/>
      <c r="COR88" s="120"/>
      <c r="COS88" s="120"/>
      <c r="COT88" s="120"/>
      <c r="COU88" s="120"/>
      <c r="COV88" s="120"/>
      <c r="COW88" s="120"/>
      <c r="COX88" s="120"/>
      <c r="COY88" s="120"/>
      <c r="COZ88" s="120"/>
      <c r="CPA88" s="120"/>
      <c r="CPB88" s="120"/>
      <c r="CPC88" s="120"/>
      <c r="CPD88" s="120"/>
      <c r="CPE88" s="120"/>
      <c r="CPF88" s="120"/>
      <c r="CPG88" s="120"/>
      <c r="CPH88" s="120"/>
      <c r="CPI88" s="120"/>
      <c r="CPJ88" s="120"/>
      <c r="CPK88" s="120"/>
      <c r="CPL88" s="120"/>
      <c r="CPM88" s="120"/>
      <c r="CPN88" s="120"/>
      <c r="CPO88" s="120"/>
      <c r="CPP88" s="120"/>
      <c r="CPQ88" s="120"/>
      <c r="CPR88" s="120"/>
      <c r="CPS88" s="120"/>
      <c r="CPT88" s="120"/>
      <c r="CPU88" s="120"/>
      <c r="CPV88" s="120"/>
      <c r="CPW88" s="120"/>
      <c r="CPX88" s="120"/>
      <c r="CPY88" s="120"/>
      <c r="CPZ88" s="120"/>
      <c r="CQA88" s="120"/>
      <c r="CQB88" s="120"/>
      <c r="CQC88" s="120"/>
      <c r="CQD88" s="120"/>
      <c r="CQE88" s="120"/>
      <c r="CQF88" s="120"/>
      <c r="CQG88" s="120"/>
      <c r="CQH88" s="120"/>
      <c r="CQI88" s="120"/>
      <c r="CQJ88" s="120"/>
      <c r="CQK88" s="120"/>
      <c r="CQL88" s="120"/>
      <c r="CQM88" s="120"/>
      <c r="CQN88" s="120"/>
      <c r="CQO88" s="120"/>
      <c r="CQP88" s="120"/>
      <c r="CQQ88" s="120"/>
      <c r="CQR88" s="120"/>
      <c r="CQS88" s="120"/>
      <c r="CQT88" s="120"/>
      <c r="CQU88" s="120"/>
      <c r="CQV88" s="120"/>
      <c r="CQW88" s="120"/>
      <c r="CQX88" s="120"/>
      <c r="CQY88" s="120"/>
      <c r="CQZ88" s="120"/>
      <c r="CRA88" s="120"/>
      <c r="CRB88" s="120"/>
      <c r="CRC88" s="120"/>
      <c r="CRD88" s="120"/>
      <c r="CRE88" s="120"/>
      <c r="CRF88" s="120"/>
      <c r="CRG88" s="120"/>
      <c r="CRH88" s="120"/>
      <c r="CRI88" s="120"/>
      <c r="CRJ88" s="120"/>
      <c r="CRK88" s="120"/>
      <c r="CRL88" s="120"/>
      <c r="CRM88" s="120"/>
      <c r="CRN88" s="120"/>
      <c r="CRO88" s="120"/>
      <c r="CRP88" s="120"/>
      <c r="CRQ88" s="120"/>
      <c r="CRR88" s="120"/>
      <c r="CRS88" s="120"/>
      <c r="CRT88" s="120"/>
      <c r="CRU88" s="120"/>
      <c r="CRV88" s="120"/>
      <c r="CRW88" s="120"/>
      <c r="CRX88" s="120"/>
      <c r="CRY88" s="120"/>
      <c r="CRZ88" s="120"/>
      <c r="CSA88" s="120"/>
      <c r="CSB88" s="120"/>
      <c r="CSC88" s="120"/>
      <c r="CSD88" s="120"/>
      <c r="CSE88" s="120"/>
      <c r="CSF88" s="120"/>
      <c r="CSG88" s="120"/>
      <c r="CSH88" s="120"/>
      <c r="CSI88" s="120"/>
      <c r="CSJ88" s="120"/>
      <c r="CSK88" s="120"/>
      <c r="CSL88" s="120"/>
      <c r="CSM88" s="120"/>
      <c r="CSN88" s="120"/>
      <c r="CSO88" s="120"/>
      <c r="CSP88" s="120"/>
      <c r="CSQ88" s="120"/>
      <c r="CSR88" s="120"/>
      <c r="CSS88" s="120"/>
      <c r="CST88" s="120"/>
      <c r="CSU88" s="120"/>
      <c r="CSV88" s="120"/>
      <c r="CSW88" s="120"/>
      <c r="CSX88" s="120"/>
      <c r="CSY88" s="120"/>
      <c r="CSZ88" s="120"/>
      <c r="CTA88" s="120"/>
      <c r="CTB88" s="120"/>
      <c r="CTC88" s="120"/>
      <c r="CTD88" s="120"/>
      <c r="CTE88" s="120"/>
      <c r="CTF88" s="120"/>
      <c r="CTG88" s="120"/>
      <c r="CTH88" s="120"/>
      <c r="CTI88" s="120"/>
      <c r="CTJ88" s="120"/>
      <c r="CTK88" s="120"/>
      <c r="CTL88" s="120"/>
      <c r="CTM88" s="120"/>
      <c r="CTN88" s="120"/>
      <c r="CTO88" s="120"/>
      <c r="CTP88" s="120"/>
      <c r="CTQ88" s="120"/>
      <c r="CTR88" s="120"/>
      <c r="CTS88" s="120"/>
      <c r="CTT88" s="120"/>
      <c r="CTU88" s="120"/>
      <c r="CTV88" s="120"/>
      <c r="CTW88" s="120"/>
      <c r="CTX88" s="120"/>
      <c r="CTY88" s="120"/>
      <c r="CTZ88" s="120"/>
      <c r="CUA88" s="120"/>
      <c r="CUB88" s="120"/>
      <c r="CUC88" s="120"/>
      <c r="CUD88" s="120"/>
      <c r="CUE88" s="120"/>
      <c r="CUF88" s="120"/>
      <c r="CUG88" s="120"/>
      <c r="CUH88" s="120"/>
      <c r="CUI88" s="120"/>
      <c r="CUJ88" s="120"/>
      <c r="CUK88" s="120"/>
      <c r="CUL88" s="120"/>
      <c r="CUM88" s="120"/>
      <c r="CUN88" s="120"/>
      <c r="CUO88" s="120"/>
      <c r="CUP88" s="120"/>
      <c r="CUQ88" s="120"/>
      <c r="CUR88" s="120"/>
      <c r="CUS88" s="120"/>
      <c r="CUT88" s="120"/>
      <c r="CUU88" s="120"/>
      <c r="CUV88" s="120"/>
      <c r="CUW88" s="120"/>
      <c r="CUX88" s="120"/>
      <c r="CUY88" s="120"/>
      <c r="CUZ88" s="120"/>
      <c r="CVA88" s="120"/>
      <c r="CVB88" s="120"/>
      <c r="CVC88" s="120"/>
      <c r="CVD88" s="120"/>
      <c r="CVE88" s="120"/>
      <c r="CVF88" s="120"/>
      <c r="CVG88" s="120"/>
      <c r="CVH88" s="120"/>
      <c r="CVI88" s="120"/>
      <c r="CVJ88" s="120"/>
      <c r="CVK88" s="120"/>
      <c r="CVL88" s="120"/>
      <c r="CVM88" s="120"/>
      <c r="CVN88" s="120"/>
      <c r="CVO88" s="120"/>
      <c r="CVP88" s="120"/>
      <c r="CVQ88" s="120"/>
      <c r="CVR88" s="120"/>
      <c r="CVS88" s="120"/>
      <c r="CVT88" s="120"/>
      <c r="CVU88" s="120"/>
      <c r="CVV88" s="120"/>
      <c r="CVW88" s="120"/>
      <c r="CVX88" s="120"/>
      <c r="CVY88" s="120"/>
      <c r="CVZ88" s="120"/>
      <c r="CWA88" s="120"/>
      <c r="CWB88" s="120"/>
      <c r="CWC88" s="120"/>
      <c r="CWD88" s="120"/>
      <c r="CWE88" s="120"/>
      <c r="CWF88" s="120"/>
      <c r="CWG88" s="120"/>
      <c r="CWH88" s="120"/>
      <c r="CWI88" s="120"/>
      <c r="CWJ88" s="120"/>
      <c r="CWK88" s="120"/>
      <c r="CWL88" s="120"/>
      <c r="CWM88" s="120"/>
      <c r="CWN88" s="120"/>
      <c r="CWO88" s="120"/>
      <c r="CWP88" s="120"/>
      <c r="CWQ88" s="120"/>
      <c r="CWR88" s="120"/>
      <c r="CWS88" s="120"/>
      <c r="CWT88" s="120"/>
      <c r="CWU88" s="120"/>
      <c r="CWV88" s="120"/>
      <c r="CWW88" s="120"/>
      <c r="CWX88" s="120"/>
      <c r="CWY88" s="120"/>
      <c r="CWZ88" s="120"/>
      <c r="CXA88" s="120"/>
      <c r="CXB88" s="120"/>
      <c r="CXC88" s="120"/>
      <c r="CXD88" s="120"/>
      <c r="CXE88" s="120"/>
      <c r="CXF88" s="120"/>
      <c r="CXG88" s="120"/>
      <c r="CXH88" s="120"/>
      <c r="CXI88" s="120"/>
      <c r="CXJ88" s="120"/>
      <c r="CXK88" s="120"/>
      <c r="CXL88" s="120"/>
      <c r="CXM88" s="120"/>
      <c r="CXN88" s="120"/>
      <c r="CXO88" s="120"/>
      <c r="CXP88" s="120"/>
      <c r="CXQ88" s="120"/>
      <c r="CXR88" s="120"/>
      <c r="CXS88" s="120"/>
      <c r="CXT88" s="120"/>
      <c r="CXU88" s="120"/>
      <c r="CXV88" s="120"/>
      <c r="CXW88" s="120"/>
      <c r="CXX88" s="120"/>
      <c r="CXY88" s="120"/>
      <c r="CXZ88" s="120"/>
      <c r="CYA88" s="120"/>
      <c r="CYB88" s="120"/>
      <c r="CYC88" s="120"/>
      <c r="CYD88" s="120"/>
      <c r="CYE88" s="120"/>
      <c r="CYF88" s="120"/>
      <c r="CYG88" s="120"/>
      <c r="CYH88" s="120"/>
      <c r="CYI88" s="120"/>
      <c r="CYJ88" s="120"/>
      <c r="CYK88" s="120"/>
      <c r="CYL88" s="120"/>
      <c r="CYM88" s="120"/>
      <c r="CYN88" s="120"/>
      <c r="CYO88" s="120"/>
      <c r="CYP88" s="120"/>
      <c r="CYQ88" s="120"/>
      <c r="CYR88" s="120"/>
      <c r="CYS88" s="120"/>
      <c r="CYT88" s="120"/>
      <c r="CYU88" s="120"/>
      <c r="CYV88" s="120"/>
      <c r="CYW88" s="120"/>
      <c r="CYX88" s="120"/>
      <c r="CYY88" s="120"/>
      <c r="CYZ88" s="120"/>
      <c r="CZA88" s="120"/>
      <c r="CZB88" s="120"/>
      <c r="CZC88" s="120"/>
      <c r="CZD88" s="120"/>
      <c r="CZE88" s="120"/>
      <c r="CZF88" s="120"/>
      <c r="CZG88" s="120"/>
      <c r="CZH88" s="120"/>
      <c r="CZI88" s="120"/>
      <c r="CZJ88" s="120"/>
      <c r="CZK88" s="120"/>
      <c r="CZL88" s="120"/>
      <c r="CZM88" s="120"/>
      <c r="CZN88" s="120"/>
      <c r="CZO88" s="120"/>
      <c r="CZP88" s="120"/>
      <c r="CZQ88" s="120"/>
      <c r="CZR88" s="120"/>
      <c r="CZS88" s="120"/>
      <c r="CZT88" s="120"/>
      <c r="CZU88" s="120"/>
      <c r="CZV88" s="120"/>
      <c r="CZW88" s="120"/>
      <c r="CZX88" s="120"/>
      <c r="CZY88" s="120"/>
      <c r="CZZ88" s="120"/>
      <c r="DAA88" s="120"/>
      <c r="DAB88" s="120"/>
      <c r="DAC88" s="120"/>
      <c r="DAD88" s="120"/>
      <c r="DAE88" s="120"/>
      <c r="DAF88" s="120"/>
      <c r="DAG88" s="120"/>
      <c r="DAH88" s="120"/>
      <c r="DAI88" s="120"/>
      <c r="DAJ88" s="120"/>
      <c r="DAK88" s="120"/>
      <c r="DAL88" s="120"/>
      <c r="DAM88" s="120"/>
      <c r="DAN88" s="120"/>
      <c r="DAO88" s="120"/>
      <c r="DAP88" s="120"/>
      <c r="DAQ88" s="120"/>
      <c r="DAR88" s="120"/>
      <c r="DAS88" s="120"/>
      <c r="DAT88" s="120"/>
      <c r="DAU88" s="120"/>
      <c r="DAV88" s="120"/>
      <c r="DAW88" s="120"/>
      <c r="DAX88" s="120"/>
      <c r="DAY88" s="120"/>
      <c r="DAZ88" s="120"/>
      <c r="DBA88" s="120"/>
      <c r="DBB88" s="120"/>
      <c r="DBC88" s="120"/>
      <c r="DBD88" s="120"/>
      <c r="DBE88" s="120"/>
      <c r="DBF88" s="120"/>
      <c r="DBG88" s="120"/>
      <c r="DBH88" s="120"/>
      <c r="DBI88" s="120"/>
      <c r="DBJ88" s="120"/>
      <c r="DBK88" s="120"/>
      <c r="DBL88" s="120"/>
      <c r="DBM88" s="120"/>
      <c r="DBN88" s="120"/>
      <c r="DBO88" s="120"/>
      <c r="DBP88" s="120"/>
      <c r="DBQ88" s="120"/>
      <c r="DBR88" s="120"/>
      <c r="DBS88" s="120"/>
      <c r="DBT88" s="120"/>
      <c r="DBU88" s="120"/>
      <c r="DBV88" s="120"/>
      <c r="DBW88" s="120"/>
      <c r="DBX88" s="120"/>
      <c r="DBY88" s="120"/>
      <c r="DBZ88" s="120"/>
      <c r="DCA88" s="120"/>
      <c r="DCB88" s="120"/>
      <c r="DCC88" s="120"/>
      <c r="DCD88" s="120"/>
      <c r="DCE88" s="120"/>
      <c r="DCF88" s="120"/>
      <c r="DCG88" s="120"/>
      <c r="DCH88" s="120"/>
      <c r="DCI88" s="120"/>
      <c r="DCJ88" s="120"/>
      <c r="DCK88" s="120"/>
      <c r="DCL88" s="120"/>
      <c r="DCM88" s="120"/>
      <c r="DCN88" s="120"/>
      <c r="DCO88" s="120"/>
      <c r="DCP88" s="120"/>
      <c r="DCQ88" s="120"/>
      <c r="DCR88" s="120"/>
      <c r="DCS88" s="120"/>
      <c r="DCT88" s="120"/>
      <c r="DCU88" s="120"/>
      <c r="DCV88" s="120"/>
      <c r="DCW88" s="120"/>
      <c r="DCX88" s="120"/>
      <c r="DCY88" s="120"/>
      <c r="DCZ88" s="120"/>
      <c r="DDA88" s="120"/>
      <c r="DDB88" s="120"/>
      <c r="DDC88" s="120"/>
      <c r="DDD88" s="120"/>
      <c r="DDE88" s="120"/>
      <c r="DDF88" s="120"/>
      <c r="DDG88" s="120"/>
      <c r="DDH88" s="120"/>
      <c r="DDI88" s="120"/>
      <c r="DDJ88" s="120"/>
      <c r="DDK88" s="120"/>
      <c r="DDL88" s="120"/>
      <c r="DDM88" s="120"/>
      <c r="DDN88" s="120"/>
      <c r="DDO88" s="120"/>
      <c r="DDP88" s="120"/>
      <c r="DDQ88" s="120"/>
      <c r="DDR88" s="120"/>
      <c r="DDS88" s="120"/>
      <c r="DDT88" s="120"/>
      <c r="DDU88" s="120"/>
      <c r="DDV88" s="120"/>
      <c r="DDW88" s="120"/>
      <c r="DDX88" s="120"/>
      <c r="DDY88" s="120"/>
      <c r="DDZ88" s="120"/>
      <c r="DEA88" s="120"/>
      <c r="DEB88" s="120"/>
      <c r="DEC88" s="120"/>
      <c r="DED88" s="120"/>
      <c r="DEE88" s="120"/>
      <c r="DEF88" s="120"/>
      <c r="DEG88" s="120"/>
      <c r="DEH88" s="120"/>
      <c r="DEI88" s="120"/>
      <c r="DEJ88" s="120"/>
      <c r="DEK88" s="120"/>
      <c r="DEL88" s="120"/>
      <c r="DEM88" s="120"/>
      <c r="DEN88" s="120"/>
      <c r="DEO88" s="120"/>
      <c r="DEP88" s="120"/>
      <c r="DEQ88" s="120"/>
      <c r="DER88" s="120"/>
      <c r="DES88" s="120"/>
      <c r="DET88" s="120"/>
      <c r="DEU88" s="120"/>
      <c r="DEV88" s="120"/>
      <c r="DEW88" s="120"/>
      <c r="DEX88" s="120"/>
      <c r="DEY88" s="120"/>
      <c r="DEZ88" s="120"/>
      <c r="DFA88" s="120"/>
      <c r="DFB88" s="120"/>
      <c r="DFC88" s="120"/>
      <c r="DFD88" s="120"/>
      <c r="DFE88" s="120"/>
      <c r="DFF88" s="120"/>
      <c r="DFG88" s="120"/>
      <c r="DFH88" s="120"/>
      <c r="DFI88" s="120"/>
      <c r="DFJ88" s="120"/>
      <c r="DFK88" s="120"/>
      <c r="DFL88" s="120"/>
      <c r="DFM88" s="120"/>
      <c r="DFN88" s="120"/>
      <c r="DFO88" s="120"/>
      <c r="DFP88" s="120"/>
      <c r="DFQ88" s="120"/>
      <c r="DFR88" s="120"/>
      <c r="DFS88" s="120"/>
      <c r="DFT88" s="120"/>
      <c r="DFU88" s="120"/>
      <c r="DFV88" s="120"/>
      <c r="DFW88" s="120"/>
      <c r="DFX88" s="120"/>
      <c r="DFY88" s="120"/>
      <c r="DFZ88" s="120"/>
      <c r="DGA88" s="120"/>
      <c r="DGB88" s="120"/>
      <c r="DGC88" s="120"/>
      <c r="DGD88" s="120"/>
      <c r="DGE88" s="120"/>
      <c r="DGF88" s="120"/>
      <c r="DGG88" s="120"/>
      <c r="DGH88" s="120"/>
      <c r="DGI88" s="120"/>
      <c r="DGJ88" s="120"/>
      <c r="DGK88" s="120"/>
      <c r="DGL88" s="120"/>
      <c r="DGM88" s="120"/>
      <c r="DGN88" s="120"/>
      <c r="DGO88" s="120"/>
      <c r="DGP88" s="120"/>
      <c r="DGQ88" s="120"/>
      <c r="DGR88" s="120"/>
      <c r="DGS88" s="120"/>
      <c r="DGT88" s="120"/>
      <c r="DGU88" s="120"/>
      <c r="DGV88" s="120"/>
      <c r="DGW88" s="120"/>
      <c r="DGX88" s="120"/>
      <c r="DGY88" s="120"/>
      <c r="DGZ88" s="120"/>
      <c r="DHA88" s="120"/>
      <c r="DHB88" s="120"/>
      <c r="DHC88" s="120"/>
      <c r="DHD88" s="120"/>
      <c r="DHE88" s="120"/>
      <c r="DHF88" s="120"/>
      <c r="DHG88" s="120"/>
      <c r="DHH88" s="120"/>
      <c r="DHI88" s="120"/>
      <c r="DHJ88" s="120"/>
      <c r="DHK88" s="120"/>
      <c r="DHL88" s="120"/>
      <c r="DHM88" s="120"/>
      <c r="DHN88" s="120"/>
      <c r="DHO88" s="120"/>
      <c r="DHP88" s="120"/>
      <c r="DHQ88" s="120"/>
      <c r="DHR88" s="120"/>
      <c r="DHS88" s="120"/>
      <c r="DHT88" s="120"/>
      <c r="DHU88" s="120"/>
      <c r="DHV88" s="120"/>
      <c r="DHW88" s="120"/>
      <c r="DHX88" s="120"/>
      <c r="DHY88" s="120"/>
      <c r="DHZ88" s="120"/>
      <c r="DIA88" s="120"/>
      <c r="DIB88" s="120"/>
      <c r="DIC88" s="120"/>
      <c r="DID88" s="120"/>
      <c r="DIE88" s="120"/>
      <c r="DIF88" s="120"/>
      <c r="DIG88" s="120"/>
      <c r="DIH88" s="120"/>
      <c r="DII88" s="120"/>
      <c r="DIJ88" s="120"/>
      <c r="DIK88" s="120"/>
      <c r="DIL88" s="120"/>
      <c r="DIM88" s="120"/>
      <c r="DIN88" s="120"/>
      <c r="DIO88" s="120"/>
      <c r="DIP88" s="120"/>
      <c r="DIQ88" s="120"/>
      <c r="DIR88" s="120"/>
      <c r="DIS88" s="120"/>
      <c r="DIT88" s="120"/>
      <c r="DIU88" s="120"/>
      <c r="DIV88" s="120"/>
      <c r="DIW88" s="120"/>
      <c r="DIX88" s="120"/>
      <c r="DIY88" s="120"/>
      <c r="DIZ88" s="120"/>
      <c r="DJA88" s="120"/>
      <c r="DJB88" s="120"/>
      <c r="DJC88" s="120"/>
      <c r="DJD88" s="120"/>
      <c r="DJE88" s="120"/>
      <c r="DJF88" s="120"/>
      <c r="DJG88" s="120"/>
      <c r="DJH88" s="120"/>
      <c r="DJI88" s="120"/>
      <c r="DJJ88" s="120"/>
      <c r="DJK88" s="120"/>
      <c r="DJL88" s="120"/>
      <c r="DJM88" s="120"/>
      <c r="DJN88" s="120"/>
      <c r="DJO88" s="120"/>
      <c r="DJP88" s="120"/>
      <c r="DJQ88" s="120"/>
      <c r="DJR88" s="120"/>
      <c r="DJS88" s="120"/>
      <c r="DJT88" s="120"/>
      <c r="DJU88" s="120"/>
      <c r="DJV88" s="120"/>
      <c r="DJW88" s="120"/>
      <c r="DJX88" s="120"/>
      <c r="DJY88" s="120"/>
      <c r="DJZ88" s="120"/>
      <c r="DKA88" s="120"/>
      <c r="DKB88" s="120"/>
      <c r="DKC88" s="120"/>
      <c r="DKD88" s="120"/>
      <c r="DKE88" s="120"/>
      <c r="DKF88" s="120"/>
      <c r="DKG88" s="120"/>
      <c r="DKH88" s="120"/>
      <c r="DKI88" s="120"/>
      <c r="DKJ88" s="120"/>
      <c r="DKK88" s="120"/>
      <c r="DKL88" s="120"/>
      <c r="DKM88" s="120"/>
      <c r="DKN88" s="120"/>
      <c r="DKO88" s="120"/>
      <c r="DKP88" s="120"/>
      <c r="DKQ88" s="120"/>
      <c r="DKR88" s="120"/>
      <c r="DKS88" s="120"/>
      <c r="DKT88" s="120"/>
      <c r="DKU88" s="120"/>
      <c r="DKV88" s="120"/>
      <c r="DKW88" s="120"/>
      <c r="DKX88" s="120"/>
      <c r="DKY88" s="120"/>
      <c r="DKZ88" s="120"/>
      <c r="DLA88" s="120"/>
      <c r="DLB88" s="120"/>
      <c r="DLC88" s="120"/>
      <c r="DLD88" s="120"/>
      <c r="DLE88" s="120"/>
      <c r="DLF88" s="120"/>
      <c r="DLG88" s="120"/>
      <c r="DLH88" s="120"/>
      <c r="DLI88" s="120"/>
      <c r="DLJ88" s="120"/>
      <c r="DLK88" s="120"/>
      <c r="DLL88" s="120"/>
      <c r="DLM88" s="120"/>
      <c r="DLN88" s="120"/>
      <c r="DLO88" s="120"/>
      <c r="DLP88" s="120"/>
      <c r="DLQ88" s="120"/>
      <c r="DLR88" s="120"/>
      <c r="DLS88" s="120"/>
      <c r="DLT88" s="120"/>
      <c r="DLU88" s="120"/>
      <c r="DLV88" s="120"/>
      <c r="DLW88" s="120"/>
      <c r="DLX88" s="120"/>
      <c r="DLY88" s="120"/>
      <c r="DLZ88" s="120"/>
      <c r="DMA88" s="120"/>
      <c r="DMB88" s="120"/>
      <c r="DMC88" s="120"/>
      <c r="DMD88" s="120"/>
      <c r="DME88" s="120"/>
      <c r="DMF88" s="120"/>
      <c r="DMG88" s="120"/>
      <c r="DMH88" s="120"/>
      <c r="DMI88" s="120"/>
      <c r="DMJ88" s="120"/>
      <c r="DMK88" s="120"/>
      <c r="DML88" s="120"/>
      <c r="DMM88" s="120"/>
      <c r="DMN88" s="120"/>
      <c r="DMO88" s="120"/>
      <c r="DMP88" s="120"/>
      <c r="DMQ88" s="120"/>
      <c r="DMR88" s="120"/>
      <c r="DMS88" s="120"/>
      <c r="DMT88" s="120"/>
      <c r="DMU88" s="120"/>
      <c r="DMV88" s="120"/>
      <c r="DMW88" s="120"/>
      <c r="DMX88" s="120"/>
      <c r="DMY88" s="120"/>
      <c r="DMZ88" s="120"/>
      <c r="DNA88" s="120"/>
      <c r="DNB88" s="120"/>
      <c r="DNC88" s="120"/>
      <c r="DND88" s="120"/>
      <c r="DNE88" s="120"/>
      <c r="DNF88" s="120"/>
      <c r="DNG88" s="120"/>
      <c r="DNH88" s="120"/>
      <c r="DNI88" s="120"/>
      <c r="DNJ88" s="120"/>
      <c r="DNK88" s="120"/>
      <c r="DNL88" s="120"/>
      <c r="DNM88" s="120"/>
      <c r="DNN88" s="120"/>
      <c r="DNO88" s="120"/>
      <c r="DNP88" s="120"/>
      <c r="DNQ88" s="120"/>
      <c r="DNR88" s="120"/>
      <c r="DNS88" s="120"/>
      <c r="DNT88" s="120"/>
      <c r="DNU88" s="120"/>
      <c r="DNV88" s="120"/>
      <c r="DNW88" s="120"/>
      <c r="DNX88" s="120"/>
      <c r="DNY88" s="120"/>
      <c r="DNZ88" s="120"/>
      <c r="DOA88" s="120"/>
      <c r="DOB88" s="120"/>
      <c r="DOC88" s="120"/>
      <c r="DOD88" s="120"/>
      <c r="DOE88" s="120"/>
      <c r="DOF88" s="120"/>
      <c r="DOG88" s="120"/>
      <c r="DOH88" s="120"/>
      <c r="DOI88" s="120"/>
      <c r="DOJ88" s="120"/>
      <c r="DOK88" s="120"/>
      <c r="DOL88" s="120"/>
      <c r="DOM88" s="120"/>
      <c r="DON88" s="120"/>
      <c r="DOO88" s="120"/>
      <c r="DOP88" s="120"/>
      <c r="DOQ88" s="120"/>
      <c r="DOR88" s="120"/>
      <c r="DOS88" s="120"/>
      <c r="DOT88" s="120"/>
      <c r="DOU88" s="120"/>
      <c r="DOV88" s="120"/>
      <c r="DOW88" s="120"/>
      <c r="DOX88" s="120"/>
      <c r="DOY88" s="120"/>
      <c r="DOZ88" s="120"/>
      <c r="DPA88" s="120"/>
      <c r="DPB88" s="120"/>
      <c r="DPC88" s="120"/>
      <c r="DPD88" s="120"/>
      <c r="DPE88" s="120"/>
      <c r="DPF88" s="120"/>
      <c r="DPG88" s="120"/>
      <c r="DPH88" s="120"/>
      <c r="DPI88" s="120"/>
      <c r="DPJ88" s="120"/>
      <c r="DPK88" s="120"/>
      <c r="DPL88" s="120"/>
      <c r="DPM88" s="120"/>
      <c r="DPN88" s="120"/>
      <c r="DPO88" s="120"/>
      <c r="DPP88" s="120"/>
      <c r="DPQ88" s="120"/>
      <c r="DPR88" s="120"/>
      <c r="DPS88" s="120"/>
      <c r="DPT88" s="120"/>
      <c r="DPU88" s="120"/>
      <c r="DPV88" s="120"/>
      <c r="DPW88" s="120"/>
      <c r="DPX88" s="120"/>
      <c r="DPY88" s="120"/>
      <c r="DPZ88" s="120"/>
      <c r="DQA88" s="120"/>
      <c r="DQB88" s="120"/>
      <c r="DQC88" s="120"/>
      <c r="DQD88" s="120"/>
      <c r="DQE88" s="120"/>
      <c r="DQF88" s="120"/>
      <c r="DQG88" s="120"/>
      <c r="DQH88" s="120"/>
      <c r="DQI88" s="120"/>
      <c r="DQJ88" s="120"/>
      <c r="DQK88" s="120"/>
      <c r="DQL88" s="120"/>
      <c r="DQM88" s="120"/>
      <c r="DQN88" s="120"/>
      <c r="DQO88" s="120"/>
      <c r="DQP88" s="120"/>
      <c r="DQQ88" s="120"/>
      <c r="DQR88" s="120"/>
      <c r="DQS88" s="120"/>
      <c r="DQT88" s="120"/>
      <c r="DQU88" s="120"/>
      <c r="DQV88" s="120"/>
      <c r="DQW88" s="120"/>
      <c r="DQX88" s="120"/>
      <c r="DQY88" s="120"/>
      <c r="DQZ88" s="120"/>
      <c r="DRA88" s="120"/>
      <c r="DRB88" s="120"/>
      <c r="DRC88" s="120"/>
      <c r="DRD88" s="120"/>
      <c r="DRE88" s="120"/>
      <c r="DRF88" s="120"/>
      <c r="DRG88" s="120"/>
      <c r="DRH88" s="120"/>
      <c r="DRI88" s="120"/>
      <c r="DRJ88" s="120"/>
      <c r="DRK88" s="120"/>
      <c r="DRL88" s="120"/>
      <c r="DRM88" s="120"/>
      <c r="DRN88" s="120"/>
      <c r="DRO88" s="120"/>
      <c r="DRP88" s="120"/>
      <c r="DRQ88" s="120"/>
      <c r="DRR88" s="120"/>
      <c r="DRS88" s="120"/>
      <c r="DRT88" s="120"/>
      <c r="DRU88" s="120"/>
      <c r="DRV88" s="120"/>
      <c r="DRW88" s="120"/>
      <c r="DRX88" s="120"/>
      <c r="DRY88" s="120"/>
      <c r="DRZ88" s="120"/>
      <c r="DSA88" s="120"/>
      <c r="DSB88" s="120"/>
      <c r="DSC88" s="120"/>
      <c r="DSD88" s="120"/>
      <c r="DSE88" s="120"/>
      <c r="DSF88" s="120"/>
      <c r="DSG88" s="120"/>
      <c r="DSH88" s="120"/>
      <c r="DSI88" s="120"/>
      <c r="DSJ88" s="120"/>
      <c r="DSK88" s="120"/>
      <c r="DSL88" s="120"/>
      <c r="DSM88" s="120"/>
      <c r="DSN88" s="120"/>
      <c r="DSO88" s="120"/>
      <c r="DSP88" s="120"/>
      <c r="DSQ88" s="120"/>
      <c r="DSR88" s="120"/>
      <c r="DSS88" s="120"/>
      <c r="DST88" s="120"/>
      <c r="DSU88" s="120"/>
      <c r="DSV88" s="120"/>
      <c r="DSW88" s="120"/>
      <c r="DSX88" s="120"/>
      <c r="DSY88" s="120"/>
      <c r="DSZ88" s="120"/>
      <c r="DTA88" s="120"/>
      <c r="DTB88" s="120"/>
      <c r="DTC88" s="120"/>
      <c r="DTD88" s="120"/>
      <c r="DTE88" s="120"/>
      <c r="DTF88" s="120"/>
      <c r="DTG88" s="120"/>
      <c r="DTH88" s="120"/>
      <c r="DTI88" s="120"/>
      <c r="DTJ88" s="120"/>
      <c r="DTK88" s="120"/>
      <c r="DTL88" s="120"/>
      <c r="DTM88" s="120"/>
      <c r="DTN88" s="120"/>
      <c r="DTO88" s="120"/>
      <c r="DTP88" s="120"/>
      <c r="DTQ88" s="120"/>
      <c r="DTR88" s="120"/>
      <c r="DTS88" s="120"/>
      <c r="DTT88" s="120"/>
      <c r="DTU88" s="120"/>
      <c r="DTV88" s="120"/>
      <c r="DTW88" s="120"/>
      <c r="DTX88" s="120"/>
      <c r="DTY88" s="120"/>
      <c r="DTZ88" s="120"/>
      <c r="DUA88" s="120"/>
      <c r="DUB88" s="120"/>
      <c r="DUC88" s="120"/>
      <c r="DUD88" s="120"/>
      <c r="DUE88" s="120"/>
      <c r="DUF88" s="120"/>
      <c r="DUG88" s="120"/>
      <c r="DUH88" s="120"/>
      <c r="DUI88" s="120"/>
      <c r="DUJ88" s="120"/>
      <c r="DUK88" s="120"/>
      <c r="DUL88" s="120"/>
      <c r="DUM88" s="120"/>
      <c r="DUN88" s="120"/>
      <c r="DUO88" s="120"/>
      <c r="DUP88" s="120"/>
      <c r="DUQ88" s="120"/>
      <c r="DUR88" s="120"/>
      <c r="DUS88" s="120"/>
      <c r="DUT88" s="120"/>
      <c r="DUU88" s="120"/>
      <c r="DUV88" s="120"/>
      <c r="DUW88" s="120"/>
      <c r="DUX88" s="120"/>
      <c r="DUY88" s="120"/>
      <c r="DUZ88" s="120"/>
      <c r="DVA88" s="120"/>
      <c r="DVB88" s="120"/>
      <c r="DVC88" s="120"/>
      <c r="DVD88" s="120"/>
      <c r="DVE88" s="120"/>
      <c r="DVF88" s="120"/>
      <c r="DVG88" s="120"/>
      <c r="DVH88" s="120"/>
      <c r="DVI88" s="120"/>
      <c r="DVJ88" s="120"/>
      <c r="DVK88" s="120"/>
      <c r="DVL88" s="120"/>
      <c r="DVM88" s="120"/>
      <c r="DVN88" s="120"/>
      <c r="DVO88" s="120"/>
      <c r="DVP88" s="120"/>
      <c r="DVQ88" s="120"/>
      <c r="DVR88" s="120"/>
      <c r="DVS88" s="120"/>
      <c r="DVT88" s="120"/>
      <c r="DVU88" s="120"/>
      <c r="DVV88" s="120"/>
      <c r="DVW88" s="120"/>
      <c r="DVX88" s="120"/>
      <c r="DVY88" s="120"/>
      <c r="DVZ88" s="120"/>
      <c r="DWA88" s="120"/>
      <c r="DWB88" s="120"/>
      <c r="DWC88" s="120"/>
      <c r="DWD88" s="120"/>
      <c r="DWE88" s="120"/>
      <c r="DWF88" s="120"/>
      <c r="DWG88" s="120"/>
      <c r="DWH88" s="120"/>
      <c r="DWI88" s="120"/>
      <c r="DWJ88" s="120"/>
      <c r="DWK88" s="120"/>
      <c r="DWL88" s="120"/>
      <c r="DWM88" s="120"/>
      <c r="DWN88" s="120"/>
      <c r="DWO88" s="120"/>
      <c r="DWP88" s="120"/>
      <c r="DWQ88" s="120"/>
      <c r="DWR88" s="120"/>
      <c r="DWS88" s="120"/>
      <c r="DWT88" s="120"/>
      <c r="DWU88" s="120"/>
      <c r="DWV88" s="120"/>
      <c r="DWW88" s="120"/>
      <c r="DWX88" s="120"/>
      <c r="DWY88" s="120"/>
      <c r="DWZ88" s="120"/>
      <c r="DXA88" s="120"/>
      <c r="DXB88" s="120"/>
      <c r="DXC88" s="120"/>
      <c r="DXD88" s="120"/>
      <c r="DXE88" s="120"/>
      <c r="DXF88" s="120"/>
      <c r="DXG88" s="120"/>
      <c r="DXH88" s="120"/>
      <c r="DXI88" s="120"/>
      <c r="DXJ88" s="120"/>
      <c r="DXK88" s="120"/>
      <c r="DXL88" s="120"/>
      <c r="DXM88" s="120"/>
      <c r="DXN88" s="120"/>
      <c r="DXO88" s="120"/>
      <c r="DXP88" s="120"/>
      <c r="DXQ88" s="120"/>
      <c r="DXR88" s="120"/>
      <c r="DXS88" s="120"/>
      <c r="DXT88" s="120"/>
      <c r="DXU88" s="120"/>
      <c r="DXV88" s="120"/>
      <c r="DXW88" s="120"/>
      <c r="DXX88" s="120"/>
      <c r="DXY88" s="120"/>
      <c r="DXZ88" s="120"/>
      <c r="DYA88" s="120"/>
      <c r="DYB88" s="120"/>
      <c r="DYC88" s="120"/>
      <c r="DYD88" s="120"/>
      <c r="DYE88" s="120"/>
      <c r="DYF88" s="120"/>
      <c r="DYG88" s="120"/>
      <c r="DYH88" s="120"/>
      <c r="DYI88" s="120"/>
      <c r="DYJ88" s="120"/>
      <c r="DYK88" s="120"/>
      <c r="DYL88" s="120"/>
      <c r="DYM88" s="120"/>
      <c r="DYN88" s="120"/>
      <c r="DYO88" s="120"/>
      <c r="DYP88" s="120"/>
      <c r="DYQ88" s="120"/>
      <c r="DYR88" s="120"/>
      <c r="DYS88" s="120"/>
      <c r="DYT88" s="120"/>
      <c r="DYU88" s="120"/>
      <c r="DYV88" s="120"/>
      <c r="DYW88" s="120"/>
      <c r="DYX88" s="120"/>
      <c r="DYY88" s="120"/>
      <c r="DYZ88" s="120"/>
      <c r="DZA88" s="120"/>
      <c r="DZB88" s="120"/>
      <c r="DZC88" s="120"/>
      <c r="DZD88" s="120"/>
      <c r="DZE88" s="120"/>
      <c r="DZF88" s="120"/>
      <c r="DZG88" s="120"/>
      <c r="DZH88" s="120"/>
      <c r="DZI88" s="120"/>
      <c r="DZJ88" s="120"/>
      <c r="DZK88" s="120"/>
      <c r="DZL88" s="120"/>
      <c r="DZM88" s="120"/>
      <c r="DZN88" s="120"/>
      <c r="DZO88" s="120"/>
      <c r="DZP88" s="120"/>
      <c r="DZQ88" s="120"/>
      <c r="DZR88" s="120"/>
      <c r="DZS88" s="120"/>
      <c r="DZT88" s="120"/>
      <c r="DZU88" s="120"/>
      <c r="DZV88" s="120"/>
      <c r="DZW88" s="120"/>
      <c r="DZX88" s="120"/>
      <c r="DZY88" s="120"/>
      <c r="DZZ88" s="120"/>
      <c r="EAA88" s="120"/>
      <c r="EAB88" s="120"/>
      <c r="EAC88" s="120"/>
      <c r="EAD88" s="120"/>
      <c r="EAE88" s="120"/>
      <c r="EAF88" s="120"/>
      <c r="EAG88" s="120"/>
      <c r="EAH88" s="120"/>
      <c r="EAI88" s="120"/>
      <c r="EAJ88" s="120"/>
      <c r="EAK88" s="120"/>
      <c r="EAL88" s="120"/>
      <c r="EAM88" s="120"/>
      <c r="EAN88" s="120"/>
      <c r="EAO88" s="120"/>
      <c r="EAP88" s="120"/>
      <c r="EAQ88" s="120"/>
      <c r="EAR88" s="120"/>
      <c r="EAS88" s="120"/>
      <c r="EAT88" s="120"/>
      <c r="EAU88" s="120"/>
      <c r="EAV88" s="120"/>
      <c r="EAW88" s="120"/>
      <c r="EAX88" s="120"/>
      <c r="EAY88" s="120"/>
      <c r="EAZ88" s="120"/>
      <c r="EBA88" s="120"/>
      <c r="EBB88" s="120"/>
      <c r="EBC88" s="120"/>
      <c r="EBD88" s="120"/>
      <c r="EBE88" s="120"/>
      <c r="EBF88" s="120"/>
      <c r="EBG88" s="120"/>
      <c r="EBH88" s="120"/>
      <c r="EBI88" s="120"/>
      <c r="EBJ88" s="120"/>
      <c r="EBK88" s="120"/>
      <c r="EBL88" s="120"/>
      <c r="EBM88" s="120"/>
      <c r="EBN88" s="120"/>
      <c r="EBO88" s="120"/>
      <c r="EBP88" s="120"/>
      <c r="EBQ88" s="120"/>
      <c r="EBR88" s="120"/>
      <c r="EBS88" s="120"/>
      <c r="EBT88" s="120"/>
      <c r="EBU88" s="120"/>
      <c r="EBV88" s="120"/>
      <c r="EBW88" s="120"/>
      <c r="EBX88" s="120"/>
      <c r="EBY88" s="120"/>
      <c r="EBZ88" s="120"/>
      <c r="ECA88" s="120"/>
      <c r="ECB88" s="120"/>
      <c r="ECC88" s="120"/>
      <c r="ECD88" s="120"/>
      <c r="ECE88" s="120"/>
      <c r="ECF88" s="120"/>
      <c r="ECG88" s="120"/>
      <c r="ECH88" s="120"/>
      <c r="ECI88" s="120"/>
      <c r="ECJ88" s="120"/>
      <c r="ECK88" s="120"/>
      <c r="ECL88" s="120"/>
      <c r="ECM88" s="120"/>
      <c r="ECN88" s="120"/>
      <c r="ECO88" s="120"/>
      <c r="ECP88" s="120"/>
      <c r="ECQ88" s="120"/>
      <c r="ECR88" s="120"/>
      <c r="ECS88" s="120"/>
      <c r="ECT88" s="120"/>
      <c r="ECU88" s="120"/>
      <c r="ECV88" s="120"/>
      <c r="ECW88" s="120"/>
      <c r="ECX88" s="120"/>
      <c r="ECY88" s="120"/>
      <c r="ECZ88" s="120"/>
      <c r="EDA88" s="120"/>
      <c r="EDB88" s="120"/>
      <c r="EDC88" s="120"/>
      <c r="EDD88" s="120"/>
      <c r="EDE88" s="120"/>
      <c r="EDF88" s="120"/>
      <c r="EDG88" s="120"/>
      <c r="EDH88" s="120"/>
      <c r="EDI88" s="120"/>
      <c r="EDJ88" s="120"/>
      <c r="EDK88" s="120"/>
      <c r="EDL88" s="120"/>
      <c r="EDM88" s="120"/>
      <c r="EDN88" s="120"/>
      <c r="EDO88" s="120"/>
      <c r="EDP88" s="120"/>
      <c r="EDQ88" s="120"/>
      <c r="EDR88" s="120"/>
      <c r="EDS88" s="120"/>
      <c r="EDT88" s="120"/>
      <c r="EDU88" s="120"/>
      <c r="EDV88" s="120"/>
      <c r="EDW88" s="120"/>
      <c r="EDX88" s="120"/>
      <c r="EDY88" s="120"/>
      <c r="EDZ88" s="120"/>
      <c r="EEA88" s="120"/>
      <c r="EEB88" s="120"/>
      <c r="EEC88" s="120"/>
      <c r="EED88" s="120"/>
      <c r="EEE88" s="120"/>
      <c r="EEF88" s="120"/>
      <c r="EEG88" s="120"/>
      <c r="EEH88" s="120"/>
      <c r="EEI88" s="120"/>
      <c r="EEJ88" s="120"/>
      <c r="EEK88" s="120"/>
      <c r="EEL88" s="120"/>
      <c r="EEM88" s="120"/>
      <c r="EEN88" s="120"/>
      <c r="EEO88" s="120"/>
      <c r="EEP88" s="120"/>
      <c r="EEQ88" s="120"/>
      <c r="EER88" s="120"/>
      <c r="EES88" s="120"/>
      <c r="EET88" s="120"/>
      <c r="EEU88" s="120"/>
      <c r="EEV88" s="120"/>
      <c r="EEW88" s="120"/>
      <c r="EEX88" s="120"/>
      <c r="EEY88" s="120"/>
      <c r="EEZ88" s="120"/>
      <c r="EFA88" s="120"/>
      <c r="EFB88" s="120"/>
      <c r="EFC88" s="120"/>
      <c r="EFD88" s="120"/>
      <c r="EFE88" s="120"/>
      <c r="EFF88" s="120"/>
      <c r="EFG88" s="120"/>
      <c r="EFH88" s="120"/>
      <c r="EFI88" s="120"/>
      <c r="EFJ88" s="120"/>
      <c r="EFK88" s="120"/>
      <c r="EFL88" s="120"/>
      <c r="EFM88" s="120"/>
      <c r="EFN88" s="120"/>
      <c r="EFO88" s="120"/>
      <c r="EFP88" s="120"/>
      <c r="EFQ88" s="120"/>
      <c r="EFR88" s="120"/>
      <c r="EFS88" s="120"/>
      <c r="EFT88" s="120"/>
      <c r="EFU88" s="120"/>
      <c r="EFV88" s="120"/>
      <c r="EFW88" s="120"/>
      <c r="EFX88" s="120"/>
      <c r="EFY88" s="120"/>
      <c r="EFZ88" s="120"/>
      <c r="EGA88" s="120"/>
      <c r="EGB88" s="120"/>
      <c r="EGC88" s="120"/>
      <c r="EGD88" s="120"/>
      <c r="EGE88" s="120"/>
      <c r="EGF88" s="120"/>
      <c r="EGG88" s="120"/>
      <c r="EGH88" s="120"/>
      <c r="EGI88" s="120"/>
      <c r="EGJ88" s="120"/>
      <c r="EGK88" s="120"/>
      <c r="EGL88" s="120"/>
      <c r="EGM88" s="120"/>
      <c r="EGN88" s="120"/>
      <c r="EGO88" s="120"/>
      <c r="EGP88" s="120"/>
      <c r="EGQ88" s="120"/>
      <c r="EGR88" s="120"/>
      <c r="EGS88" s="120"/>
      <c r="EGT88" s="120"/>
      <c r="EGU88" s="120"/>
      <c r="EGV88" s="120"/>
      <c r="EGW88" s="120"/>
      <c r="EGX88" s="120"/>
      <c r="EGY88" s="120"/>
      <c r="EGZ88" s="120"/>
      <c r="EHA88" s="120"/>
      <c r="EHB88" s="120"/>
      <c r="EHC88" s="120"/>
      <c r="EHD88" s="120"/>
      <c r="EHE88" s="120"/>
      <c r="EHF88" s="120"/>
      <c r="EHG88" s="120"/>
      <c r="EHH88" s="120"/>
      <c r="EHI88" s="120"/>
      <c r="EHJ88" s="120"/>
      <c r="EHK88" s="120"/>
      <c r="EHL88" s="120"/>
      <c r="EHM88" s="120"/>
      <c r="EHN88" s="120"/>
      <c r="EHO88" s="120"/>
      <c r="EHP88" s="120"/>
      <c r="EHQ88" s="120"/>
      <c r="EHR88" s="120"/>
      <c r="EHS88" s="120"/>
      <c r="EHT88" s="120"/>
      <c r="EHU88" s="120"/>
      <c r="EHV88" s="120"/>
      <c r="EHW88" s="120"/>
      <c r="EHX88" s="120"/>
      <c r="EHY88" s="120"/>
      <c r="EHZ88" s="120"/>
      <c r="EIA88" s="120"/>
      <c r="EIB88" s="120"/>
      <c r="EIC88" s="120"/>
      <c r="EID88" s="120"/>
      <c r="EIE88" s="120"/>
      <c r="EIF88" s="120"/>
      <c r="EIG88" s="120"/>
      <c r="EIH88" s="120"/>
      <c r="EII88" s="120"/>
      <c r="EIJ88" s="120"/>
      <c r="EIK88" s="120"/>
      <c r="EIL88" s="120"/>
      <c r="EIM88" s="120"/>
      <c r="EIN88" s="120"/>
      <c r="EIO88" s="120"/>
      <c r="EIP88" s="120"/>
      <c r="EIQ88" s="120"/>
      <c r="EIR88" s="120"/>
      <c r="EIS88" s="120"/>
      <c r="EIT88" s="120"/>
      <c r="EIU88" s="120"/>
      <c r="EIV88" s="120"/>
      <c r="EIW88" s="120"/>
      <c r="EIX88" s="120"/>
      <c r="EIY88" s="120"/>
      <c r="EIZ88" s="120"/>
      <c r="EJA88" s="120"/>
      <c r="EJB88" s="120"/>
      <c r="EJC88" s="120"/>
      <c r="EJD88" s="120"/>
      <c r="EJE88" s="120"/>
      <c r="EJF88" s="120"/>
      <c r="EJG88" s="120"/>
      <c r="EJH88" s="120"/>
      <c r="EJI88" s="120"/>
      <c r="EJJ88" s="120"/>
      <c r="EJK88" s="120"/>
      <c r="EJL88" s="120"/>
      <c r="EJM88" s="120"/>
      <c r="EJN88" s="120"/>
      <c r="EJO88" s="120"/>
      <c r="EJP88" s="120"/>
      <c r="EJQ88" s="120"/>
      <c r="EJR88" s="120"/>
      <c r="EJS88" s="120"/>
      <c r="EJT88" s="120"/>
      <c r="EJU88" s="120"/>
      <c r="EJV88" s="120"/>
      <c r="EJW88" s="120"/>
      <c r="EJX88" s="120"/>
      <c r="EJY88" s="120"/>
      <c r="EJZ88" s="120"/>
      <c r="EKA88" s="120"/>
      <c r="EKB88" s="120"/>
      <c r="EKC88" s="120"/>
      <c r="EKD88" s="120"/>
      <c r="EKE88" s="120"/>
      <c r="EKF88" s="120"/>
      <c r="EKG88" s="120"/>
      <c r="EKH88" s="120"/>
      <c r="EKI88" s="120"/>
      <c r="EKJ88" s="120"/>
      <c r="EKK88" s="120"/>
      <c r="EKL88" s="120"/>
      <c r="EKM88" s="120"/>
      <c r="EKN88" s="120"/>
      <c r="EKO88" s="120"/>
      <c r="EKP88" s="120"/>
      <c r="EKQ88" s="120"/>
      <c r="EKR88" s="120"/>
      <c r="EKS88" s="120"/>
      <c r="EKT88" s="120"/>
      <c r="EKU88" s="120"/>
      <c r="EKV88" s="120"/>
      <c r="EKW88" s="120"/>
      <c r="EKX88" s="120"/>
      <c r="EKY88" s="120"/>
      <c r="EKZ88" s="120"/>
      <c r="ELA88" s="120"/>
      <c r="ELB88" s="120"/>
      <c r="ELC88" s="120"/>
      <c r="ELD88" s="120"/>
      <c r="ELE88" s="120"/>
      <c r="ELF88" s="120"/>
      <c r="ELG88" s="120"/>
      <c r="ELH88" s="120"/>
      <c r="ELI88" s="120"/>
      <c r="ELJ88" s="120"/>
      <c r="ELK88" s="120"/>
      <c r="ELL88" s="120"/>
      <c r="ELM88" s="120"/>
      <c r="ELN88" s="120"/>
      <c r="ELO88" s="120"/>
      <c r="ELP88" s="120"/>
      <c r="ELQ88" s="120"/>
      <c r="ELR88" s="120"/>
      <c r="ELS88" s="120"/>
      <c r="ELT88" s="120"/>
      <c r="ELU88" s="120"/>
      <c r="ELV88" s="120"/>
      <c r="ELW88" s="120"/>
      <c r="ELX88" s="120"/>
      <c r="ELY88" s="120"/>
      <c r="ELZ88" s="120"/>
      <c r="EMA88" s="120"/>
      <c r="EMB88" s="120"/>
      <c r="EMC88" s="120"/>
      <c r="EMD88" s="120"/>
      <c r="EME88" s="120"/>
      <c r="EMF88" s="120"/>
      <c r="EMG88" s="120"/>
      <c r="EMH88" s="120"/>
      <c r="EMI88" s="120"/>
      <c r="EMJ88" s="120"/>
      <c r="EMK88" s="120"/>
      <c r="EML88" s="120"/>
      <c r="EMM88" s="120"/>
      <c r="EMN88" s="120"/>
      <c r="EMO88" s="120"/>
      <c r="EMP88" s="120"/>
      <c r="EMQ88" s="120"/>
      <c r="EMR88" s="120"/>
      <c r="EMS88" s="120"/>
      <c r="EMT88" s="120"/>
      <c r="EMU88" s="120"/>
      <c r="EMV88" s="120"/>
      <c r="EMW88" s="120"/>
      <c r="EMX88" s="120"/>
      <c r="EMY88" s="120"/>
      <c r="EMZ88" s="120"/>
      <c r="ENA88" s="120"/>
      <c r="ENB88" s="120"/>
      <c r="ENC88" s="120"/>
      <c r="END88" s="120"/>
      <c r="ENE88" s="120"/>
      <c r="ENF88" s="120"/>
      <c r="ENG88" s="120"/>
      <c r="ENH88" s="120"/>
      <c r="ENI88" s="120"/>
      <c r="ENJ88" s="120"/>
      <c r="ENK88" s="120"/>
      <c r="ENL88" s="120"/>
      <c r="ENM88" s="120"/>
      <c r="ENN88" s="120"/>
      <c r="ENO88" s="120"/>
      <c r="ENP88" s="120"/>
      <c r="ENQ88" s="120"/>
      <c r="ENR88" s="120"/>
      <c r="ENS88" s="120"/>
      <c r="ENT88" s="120"/>
      <c r="ENU88" s="120"/>
      <c r="ENV88" s="120"/>
      <c r="ENW88" s="120"/>
      <c r="ENX88" s="120"/>
      <c r="ENY88" s="120"/>
      <c r="ENZ88" s="120"/>
      <c r="EOA88" s="120"/>
      <c r="EOB88" s="120"/>
      <c r="EOC88" s="120"/>
      <c r="EOD88" s="120"/>
      <c r="EOE88" s="120"/>
      <c r="EOF88" s="120"/>
      <c r="EOG88" s="120"/>
      <c r="EOH88" s="120"/>
      <c r="EOI88" s="120"/>
      <c r="EOJ88" s="120"/>
      <c r="EOK88" s="120"/>
      <c r="EOL88" s="120"/>
      <c r="EOM88" s="120"/>
      <c r="EON88" s="120"/>
      <c r="EOO88" s="120"/>
      <c r="EOP88" s="120"/>
      <c r="EOQ88" s="120"/>
      <c r="EOR88" s="120"/>
      <c r="EOS88" s="120"/>
      <c r="EOT88" s="120"/>
      <c r="EOU88" s="120"/>
      <c r="EOV88" s="120"/>
      <c r="EOW88" s="120"/>
      <c r="EOX88" s="120"/>
      <c r="EOY88" s="120"/>
      <c r="EOZ88" s="120"/>
      <c r="EPA88" s="120"/>
      <c r="EPB88" s="120"/>
      <c r="EPC88" s="120"/>
      <c r="EPD88" s="120"/>
      <c r="EPE88" s="120"/>
      <c r="EPF88" s="120"/>
      <c r="EPG88" s="120"/>
      <c r="EPH88" s="120"/>
      <c r="EPI88" s="120"/>
      <c r="EPJ88" s="120"/>
      <c r="EPK88" s="120"/>
      <c r="EPL88" s="120"/>
      <c r="EPM88" s="120"/>
      <c r="EPN88" s="120"/>
      <c r="EPO88" s="120"/>
      <c r="EPP88" s="120"/>
      <c r="EPQ88" s="120"/>
      <c r="EPR88" s="120"/>
      <c r="EPS88" s="120"/>
      <c r="EPT88" s="120"/>
      <c r="EPU88" s="120"/>
      <c r="EPV88" s="120"/>
      <c r="EPW88" s="120"/>
      <c r="EPX88" s="120"/>
      <c r="EPY88" s="120"/>
      <c r="EPZ88" s="120"/>
      <c r="EQA88" s="120"/>
      <c r="EQB88" s="120"/>
      <c r="EQC88" s="120"/>
      <c r="EQD88" s="120"/>
      <c r="EQE88" s="120"/>
      <c r="EQF88" s="120"/>
      <c r="EQG88" s="120"/>
      <c r="EQH88" s="120"/>
      <c r="EQI88" s="120"/>
      <c r="EQJ88" s="120"/>
      <c r="EQK88" s="120"/>
      <c r="EQL88" s="120"/>
      <c r="EQM88" s="120"/>
      <c r="EQN88" s="120"/>
      <c r="EQO88" s="120"/>
      <c r="EQP88" s="120"/>
      <c r="EQQ88" s="120"/>
      <c r="EQR88" s="120"/>
      <c r="EQS88" s="120"/>
      <c r="EQT88" s="120"/>
      <c r="EQU88" s="120"/>
      <c r="EQV88" s="120"/>
      <c r="EQW88" s="120"/>
      <c r="EQX88" s="120"/>
      <c r="EQY88" s="120"/>
      <c r="EQZ88" s="120"/>
      <c r="ERA88" s="120"/>
      <c r="ERB88" s="120"/>
      <c r="ERC88" s="120"/>
      <c r="ERD88" s="120"/>
      <c r="ERE88" s="120"/>
      <c r="ERF88" s="120"/>
      <c r="ERG88" s="120"/>
      <c r="ERH88" s="120"/>
      <c r="ERI88" s="120"/>
      <c r="ERJ88" s="120"/>
      <c r="ERK88" s="120"/>
      <c r="ERL88" s="120"/>
      <c r="ERM88" s="120"/>
      <c r="ERN88" s="120"/>
      <c r="ERO88" s="120"/>
      <c r="ERP88" s="120"/>
      <c r="ERQ88" s="120"/>
      <c r="ERR88" s="120"/>
      <c r="ERS88" s="120"/>
      <c r="ERT88" s="120"/>
      <c r="ERU88" s="120"/>
      <c r="ERV88" s="120"/>
      <c r="ERW88" s="120"/>
      <c r="ERX88" s="120"/>
      <c r="ERY88" s="120"/>
      <c r="ERZ88" s="120"/>
      <c r="ESA88" s="120"/>
      <c r="ESB88" s="120"/>
      <c r="ESC88" s="120"/>
      <c r="ESD88" s="120"/>
      <c r="ESE88" s="120"/>
      <c r="ESF88" s="120"/>
      <c r="ESG88" s="120"/>
      <c r="ESH88" s="120"/>
      <c r="ESI88" s="120"/>
      <c r="ESJ88" s="120"/>
      <c r="ESK88" s="120"/>
      <c r="ESL88" s="120"/>
      <c r="ESM88" s="120"/>
      <c r="ESN88" s="120"/>
      <c r="ESO88" s="120"/>
      <c r="ESP88" s="120"/>
      <c r="ESQ88" s="120"/>
      <c r="ESR88" s="120"/>
      <c r="ESS88" s="120"/>
      <c r="EST88" s="120"/>
      <c r="ESU88" s="120"/>
      <c r="ESV88" s="120"/>
      <c r="ESW88" s="120"/>
      <c r="ESX88" s="120"/>
      <c r="ESY88" s="120"/>
      <c r="ESZ88" s="120"/>
      <c r="ETA88" s="120"/>
      <c r="ETB88" s="120"/>
      <c r="ETC88" s="120"/>
      <c r="ETD88" s="120"/>
      <c r="ETE88" s="120"/>
      <c r="ETF88" s="120"/>
      <c r="ETG88" s="120"/>
      <c r="ETH88" s="120"/>
      <c r="ETI88" s="120"/>
      <c r="ETJ88" s="120"/>
      <c r="ETK88" s="120"/>
      <c r="ETL88" s="120"/>
      <c r="ETM88" s="120"/>
      <c r="ETN88" s="120"/>
      <c r="ETO88" s="120"/>
      <c r="ETP88" s="120"/>
      <c r="ETQ88" s="120"/>
      <c r="ETR88" s="120"/>
      <c r="ETS88" s="120"/>
      <c r="ETT88" s="120"/>
      <c r="ETU88" s="120"/>
      <c r="ETV88" s="120"/>
      <c r="ETW88" s="120"/>
      <c r="ETX88" s="120"/>
      <c r="ETY88" s="120"/>
      <c r="ETZ88" s="120"/>
      <c r="EUA88" s="120"/>
      <c r="EUB88" s="120"/>
      <c r="EUC88" s="120"/>
      <c r="EUD88" s="120"/>
      <c r="EUE88" s="120"/>
      <c r="EUF88" s="120"/>
      <c r="EUG88" s="120"/>
      <c r="EUH88" s="120"/>
      <c r="EUI88" s="120"/>
      <c r="EUJ88" s="120"/>
      <c r="EUK88" s="120"/>
      <c r="EUL88" s="120"/>
      <c r="EUM88" s="120"/>
      <c r="EUN88" s="120"/>
      <c r="EUO88" s="120"/>
      <c r="EUP88" s="120"/>
      <c r="EUQ88" s="120"/>
      <c r="EUR88" s="120"/>
      <c r="EUS88" s="120"/>
      <c r="EUT88" s="120"/>
      <c r="EUU88" s="120"/>
      <c r="EUV88" s="120"/>
      <c r="EUW88" s="120"/>
      <c r="EUX88" s="120"/>
      <c r="EUY88" s="120"/>
      <c r="EUZ88" s="120"/>
      <c r="EVA88" s="120"/>
      <c r="EVB88" s="120"/>
      <c r="EVC88" s="120"/>
      <c r="EVD88" s="120"/>
      <c r="EVE88" s="120"/>
      <c r="EVF88" s="120"/>
      <c r="EVG88" s="120"/>
      <c r="EVH88" s="120"/>
      <c r="EVI88" s="120"/>
      <c r="EVJ88" s="120"/>
      <c r="EVK88" s="120"/>
      <c r="EVL88" s="120"/>
      <c r="EVM88" s="120"/>
      <c r="EVN88" s="120"/>
      <c r="EVO88" s="120"/>
      <c r="EVP88" s="120"/>
      <c r="EVQ88" s="120"/>
      <c r="EVR88" s="120"/>
      <c r="EVS88" s="120"/>
      <c r="EVT88" s="120"/>
      <c r="EVU88" s="120"/>
      <c r="EVV88" s="120"/>
      <c r="EVW88" s="120"/>
      <c r="EVX88" s="120"/>
      <c r="EVY88" s="120"/>
      <c r="EVZ88" s="120"/>
      <c r="EWA88" s="120"/>
      <c r="EWB88" s="120"/>
      <c r="EWC88" s="120"/>
      <c r="EWD88" s="120"/>
      <c r="EWE88" s="120"/>
      <c r="EWF88" s="120"/>
      <c r="EWG88" s="120"/>
      <c r="EWH88" s="120"/>
      <c r="EWI88" s="120"/>
      <c r="EWJ88" s="120"/>
      <c r="EWK88" s="120"/>
      <c r="EWL88" s="120"/>
      <c r="EWM88" s="120"/>
      <c r="EWN88" s="120"/>
      <c r="EWO88" s="120"/>
      <c r="EWP88" s="120"/>
      <c r="EWQ88" s="120"/>
      <c r="EWR88" s="120"/>
      <c r="EWS88" s="120"/>
      <c r="EWT88" s="120"/>
      <c r="EWU88" s="120"/>
      <c r="EWV88" s="120"/>
      <c r="EWW88" s="120"/>
      <c r="EWX88" s="120"/>
      <c r="EWY88" s="120"/>
      <c r="EWZ88" s="120"/>
      <c r="EXA88" s="120"/>
      <c r="EXB88" s="120"/>
      <c r="EXC88" s="120"/>
      <c r="EXD88" s="120"/>
      <c r="EXE88" s="120"/>
      <c r="EXF88" s="120"/>
      <c r="EXG88" s="120"/>
      <c r="EXH88" s="120"/>
      <c r="EXI88" s="120"/>
      <c r="EXJ88" s="120"/>
      <c r="EXK88" s="120"/>
      <c r="EXL88" s="120"/>
      <c r="EXM88" s="120"/>
      <c r="EXN88" s="120"/>
      <c r="EXO88" s="120"/>
      <c r="EXP88" s="120"/>
      <c r="EXQ88" s="120"/>
      <c r="EXR88" s="120"/>
      <c r="EXS88" s="120"/>
      <c r="EXT88" s="120"/>
      <c r="EXU88" s="120"/>
      <c r="EXV88" s="120"/>
      <c r="EXW88" s="120"/>
      <c r="EXX88" s="120"/>
      <c r="EXY88" s="120"/>
      <c r="EXZ88" s="120"/>
      <c r="EYA88" s="120"/>
      <c r="EYB88" s="120"/>
      <c r="EYC88" s="120"/>
      <c r="EYD88" s="120"/>
      <c r="EYE88" s="120"/>
      <c r="EYF88" s="120"/>
      <c r="EYG88" s="120"/>
      <c r="EYH88" s="120"/>
      <c r="EYI88" s="120"/>
      <c r="EYJ88" s="120"/>
      <c r="EYK88" s="120"/>
      <c r="EYL88" s="120"/>
      <c r="EYM88" s="120"/>
      <c r="EYN88" s="120"/>
      <c r="EYO88" s="120"/>
      <c r="EYP88" s="120"/>
      <c r="EYQ88" s="120"/>
      <c r="EYR88" s="120"/>
      <c r="EYS88" s="120"/>
      <c r="EYT88" s="120"/>
      <c r="EYU88" s="120"/>
      <c r="EYV88" s="120"/>
      <c r="EYW88" s="120"/>
      <c r="EYX88" s="120"/>
      <c r="EYY88" s="120"/>
      <c r="EYZ88" s="120"/>
      <c r="EZA88" s="120"/>
      <c r="EZB88" s="120"/>
      <c r="EZC88" s="120"/>
      <c r="EZD88" s="120"/>
      <c r="EZE88" s="120"/>
      <c r="EZF88" s="120"/>
      <c r="EZG88" s="120"/>
      <c r="EZH88" s="120"/>
      <c r="EZI88" s="120"/>
      <c r="EZJ88" s="120"/>
      <c r="EZK88" s="120"/>
      <c r="EZL88" s="120"/>
      <c r="EZM88" s="120"/>
      <c r="EZN88" s="120"/>
      <c r="EZO88" s="120"/>
      <c r="EZP88" s="120"/>
      <c r="EZQ88" s="120"/>
      <c r="EZR88" s="120"/>
      <c r="EZS88" s="120"/>
      <c r="EZT88" s="120"/>
      <c r="EZU88" s="120"/>
      <c r="EZV88" s="120"/>
      <c r="EZW88" s="120"/>
      <c r="EZX88" s="120"/>
      <c r="EZY88" s="120"/>
      <c r="EZZ88" s="120"/>
      <c r="FAA88" s="120"/>
      <c r="FAB88" s="120"/>
      <c r="FAC88" s="120"/>
      <c r="FAD88" s="120"/>
      <c r="FAE88" s="120"/>
      <c r="FAF88" s="120"/>
      <c r="FAG88" s="120"/>
      <c r="FAH88" s="120"/>
      <c r="FAI88" s="120"/>
      <c r="FAJ88" s="120"/>
      <c r="FAK88" s="120"/>
      <c r="FAL88" s="120"/>
      <c r="FAM88" s="120"/>
      <c r="FAN88" s="120"/>
      <c r="FAO88" s="120"/>
      <c r="FAP88" s="120"/>
      <c r="FAQ88" s="120"/>
      <c r="FAR88" s="120"/>
      <c r="FAS88" s="120"/>
      <c r="FAT88" s="120"/>
      <c r="FAU88" s="120"/>
      <c r="FAV88" s="120"/>
      <c r="FAW88" s="120"/>
      <c r="FAX88" s="120"/>
      <c r="FAY88" s="120"/>
      <c r="FAZ88" s="120"/>
      <c r="FBA88" s="120"/>
      <c r="FBB88" s="120"/>
      <c r="FBC88" s="120"/>
      <c r="FBD88" s="120"/>
      <c r="FBE88" s="120"/>
      <c r="FBF88" s="120"/>
      <c r="FBG88" s="120"/>
      <c r="FBH88" s="120"/>
      <c r="FBI88" s="120"/>
      <c r="FBJ88" s="120"/>
      <c r="FBK88" s="120"/>
      <c r="FBL88" s="120"/>
      <c r="FBM88" s="120"/>
      <c r="FBN88" s="120"/>
      <c r="FBO88" s="120"/>
      <c r="FBP88" s="120"/>
      <c r="FBQ88" s="120"/>
      <c r="FBR88" s="120"/>
      <c r="FBS88" s="120"/>
      <c r="FBT88" s="120"/>
      <c r="FBU88" s="120"/>
      <c r="FBV88" s="120"/>
      <c r="FBW88" s="120"/>
      <c r="FBX88" s="120"/>
      <c r="FBY88" s="120"/>
      <c r="FBZ88" s="120"/>
      <c r="FCA88" s="120"/>
      <c r="FCB88" s="120"/>
      <c r="FCC88" s="120"/>
      <c r="FCD88" s="120"/>
      <c r="FCE88" s="120"/>
      <c r="FCF88" s="120"/>
      <c r="FCG88" s="120"/>
      <c r="FCH88" s="120"/>
      <c r="FCI88" s="120"/>
      <c r="FCJ88" s="120"/>
      <c r="FCK88" s="120"/>
      <c r="FCL88" s="120"/>
      <c r="FCM88" s="120"/>
      <c r="FCN88" s="120"/>
      <c r="FCO88" s="120"/>
      <c r="FCP88" s="120"/>
      <c r="FCQ88" s="120"/>
      <c r="FCR88" s="120"/>
      <c r="FCS88" s="120"/>
      <c r="FCT88" s="120"/>
      <c r="FCU88" s="120"/>
      <c r="FCV88" s="120"/>
      <c r="FCW88" s="120"/>
      <c r="FCX88" s="120"/>
      <c r="FCY88" s="120"/>
      <c r="FCZ88" s="120"/>
      <c r="FDA88" s="120"/>
      <c r="FDB88" s="120"/>
      <c r="FDC88" s="120"/>
      <c r="FDD88" s="120"/>
      <c r="FDE88" s="120"/>
      <c r="FDF88" s="120"/>
      <c r="FDG88" s="120"/>
      <c r="FDH88" s="120"/>
      <c r="FDI88" s="120"/>
      <c r="FDJ88" s="120"/>
      <c r="FDK88" s="120"/>
      <c r="FDL88" s="120"/>
      <c r="FDM88" s="120"/>
      <c r="FDN88" s="120"/>
      <c r="FDO88" s="120"/>
      <c r="FDP88" s="120"/>
      <c r="FDQ88" s="120"/>
      <c r="FDR88" s="120"/>
      <c r="FDS88" s="120"/>
      <c r="FDT88" s="120"/>
      <c r="FDU88" s="120"/>
      <c r="FDV88" s="120"/>
      <c r="FDW88" s="120"/>
      <c r="FDX88" s="120"/>
      <c r="FDY88" s="120"/>
      <c r="FDZ88" s="120"/>
      <c r="FEA88" s="120"/>
      <c r="FEB88" s="120"/>
      <c r="FEC88" s="120"/>
      <c r="FED88" s="120"/>
      <c r="FEE88" s="120"/>
      <c r="FEF88" s="120"/>
      <c r="FEG88" s="120"/>
      <c r="FEH88" s="120"/>
      <c r="FEI88" s="120"/>
      <c r="FEJ88" s="120"/>
      <c r="FEK88" s="120"/>
      <c r="FEL88" s="120"/>
      <c r="FEM88" s="120"/>
      <c r="FEN88" s="120"/>
      <c r="FEO88" s="120"/>
      <c r="FEP88" s="120"/>
      <c r="FEQ88" s="120"/>
      <c r="FER88" s="120"/>
      <c r="FES88" s="120"/>
      <c r="FET88" s="120"/>
      <c r="FEU88" s="120"/>
      <c r="FEV88" s="120"/>
      <c r="FEW88" s="120"/>
      <c r="FEX88" s="120"/>
      <c r="FEY88" s="120"/>
      <c r="FEZ88" s="120"/>
      <c r="FFA88" s="120"/>
      <c r="FFB88" s="120"/>
      <c r="FFC88" s="120"/>
      <c r="FFD88" s="120"/>
      <c r="FFE88" s="120"/>
      <c r="FFF88" s="120"/>
      <c r="FFG88" s="120"/>
      <c r="FFH88" s="120"/>
      <c r="FFI88" s="120"/>
      <c r="FFJ88" s="120"/>
      <c r="FFK88" s="120"/>
      <c r="FFL88" s="120"/>
      <c r="FFM88" s="120"/>
      <c r="FFN88" s="120"/>
      <c r="FFO88" s="120"/>
      <c r="FFP88" s="120"/>
      <c r="FFQ88" s="120"/>
      <c r="FFR88" s="120"/>
      <c r="FFS88" s="120"/>
      <c r="FFT88" s="120"/>
      <c r="FFU88" s="120"/>
      <c r="FFV88" s="120"/>
      <c r="FFW88" s="120"/>
      <c r="FFX88" s="120"/>
      <c r="FFY88" s="120"/>
      <c r="FFZ88" s="120"/>
      <c r="FGA88" s="120"/>
      <c r="FGB88" s="120"/>
      <c r="FGC88" s="120"/>
      <c r="FGD88" s="120"/>
      <c r="FGE88" s="120"/>
      <c r="FGF88" s="120"/>
      <c r="FGG88" s="120"/>
      <c r="FGH88" s="120"/>
      <c r="FGI88" s="120"/>
      <c r="FGJ88" s="120"/>
      <c r="FGK88" s="120"/>
      <c r="FGL88" s="120"/>
      <c r="FGM88" s="120"/>
      <c r="FGN88" s="120"/>
      <c r="FGO88" s="120"/>
      <c r="FGP88" s="120"/>
      <c r="FGQ88" s="120"/>
      <c r="FGR88" s="120"/>
      <c r="FGS88" s="120"/>
      <c r="FGT88" s="120"/>
      <c r="FGU88" s="120"/>
      <c r="FGV88" s="120"/>
      <c r="FGW88" s="120"/>
      <c r="FGX88" s="120"/>
      <c r="FGY88" s="120"/>
      <c r="FGZ88" s="120"/>
      <c r="FHA88" s="120"/>
      <c r="FHB88" s="120"/>
      <c r="FHC88" s="120"/>
      <c r="FHD88" s="120"/>
      <c r="FHE88" s="120"/>
      <c r="FHF88" s="120"/>
      <c r="FHG88" s="120"/>
      <c r="FHH88" s="120"/>
      <c r="FHI88" s="120"/>
      <c r="FHJ88" s="120"/>
      <c r="FHK88" s="120"/>
      <c r="FHL88" s="120"/>
      <c r="FHM88" s="120"/>
      <c r="FHN88" s="120"/>
      <c r="FHO88" s="120"/>
      <c r="FHP88" s="120"/>
      <c r="FHQ88" s="120"/>
      <c r="FHR88" s="120"/>
      <c r="FHS88" s="120"/>
      <c r="FHT88" s="120"/>
      <c r="FHU88" s="120"/>
      <c r="FHV88" s="120"/>
      <c r="FHW88" s="120"/>
      <c r="FHX88" s="120"/>
      <c r="FHY88" s="120"/>
      <c r="FHZ88" s="120"/>
      <c r="FIA88" s="120"/>
      <c r="FIB88" s="120"/>
      <c r="FIC88" s="120"/>
      <c r="FID88" s="120"/>
      <c r="FIE88" s="120"/>
      <c r="FIF88" s="120"/>
      <c r="FIG88" s="120"/>
      <c r="FIH88" s="120"/>
      <c r="FII88" s="120"/>
      <c r="FIJ88" s="120"/>
      <c r="FIK88" s="120"/>
      <c r="FIL88" s="120"/>
      <c r="FIM88" s="120"/>
      <c r="FIN88" s="120"/>
      <c r="FIO88" s="120"/>
      <c r="FIP88" s="120"/>
      <c r="FIQ88" s="120"/>
      <c r="FIR88" s="120"/>
      <c r="FIS88" s="120"/>
      <c r="FIT88" s="120"/>
      <c r="FIU88" s="120"/>
      <c r="FIV88" s="120"/>
      <c r="FIW88" s="120"/>
      <c r="FIX88" s="120"/>
      <c r="FIY88" s="120"/>
      <c r="FIZ88" s="120"/>
      <c r="FJA88" s="120"/>
      <c r="FJB88" s="120"/>
      <c r="FJC88" s="120"/>
      <c r="FJD88" s="120"/>
      <c r="FJE88" s="120"/>
      <c r="FJF88" s="120"/>
      <c r="FJG88" s="120"/>
      <c r="FJH88" s="120"/>
      <c r="FJI88" s="120"/>
      <c r="FJJ88" s="120"/>
      <c r="FJK88" s="120"/>
      <c r="FJL88" s="120"/>
      <c r="FJM88" s="120"/>
      <c r="FJN88" s="120"/>
      <c r="FJO88" s="120"/>
      <c r="FJP88" s="120"/>
      <c r="FJQ88" s="120"/>
      <c r="FJR88" s="120"/>
      <c r="FJS88" s="120"/>
      <c r="FJT88" s="120"/>
      <c r="FJU88" s="120"/>
      <c r="FJV88" s="120"/>
      <c r="FJW88" s="120"/>
      <c r="FJX88" s="120"/>
      <c r="FJY88" s="120"/>
      <c r="FJZ88" s="120"/>
      <c r="FKA88" s="120"/>
      <c r="FKB88" s="120"/>
      <c r="FKC88" s="120"/>
      <c r="FKD88" s="120"/>
      <c r="FKE88" s="120"/>
      <c r="FKF88" s="120"/>
      <c r="FKG88" s="120"/>
      <c r="FKH88" s="120"/>
      <c r="FKI88" s="120"/>
      <c r="FKJ88" s="120"/>
      <c r="FKK88" s="120"/>
      <c r="FKL88" s="120"/>
      <c r="FKM88" s="120"/>
      <c r="FKN88" s="120"/>
      <c r="FKO88" s="120"/>
      <c r="FKP88" s="120"/>
      <c r="FKQ88" s="120"/>
      <c r="FKR88" s="120"/>
      <c r="FKS88" s="120"/>
      <c r="FKT88" s="120"/>
      <c r="FKU88" s="120"/>
      <c r="FKV88" s="120"/>
      <c r="FKW88" s="120"/>
      <c r="FKX88" s="120"/>
      <c r="FKY88" s="120"/>
      <c r="FKZ88" s="120"/>
      <c r="FLA88" s="120"/>
      <c r="FLB88" s="120"/>
      <c r="FLC88" s="120"/>
      <c r="FLD88" s="120"/>
      <c r="FLE88" s="120"/>
      <c r="FLF88" s="120"/>
      <c r="FLG88" s="120"/>
      <c r="FLH88" s="120"/>
      <c r="FLI88" s="120"/>
      <c r="FLJ88" s="120"/>
      <c r="FLK88" s="120"/>
      <c r="FLL88" s="120"/>
      <c r="FLM88" s="120"/>
      <c r="FLN88" s="120"/>
      <c r="FLO88" s="120"/>
      <c r="FLP88" s="120"/>
      <c r="FLQ88" s="120"/>
      <c r="FLR88" s="120"/>
      <c r="FLS88" s="120"/>
      <c r="FLT88" s="120"/>
      <c r="FLU88" s="120"/>
      <c r="FLV88" s="120"/>
      <c r="FLW88" s="120"/>
      <c r="FLX88" s="120"/>
      <c r="FLY88" s="120"/>
      <c r="FLZ88" s="120"/>
      <c r="FMA88" s="120"/>
      <c r="FMB88" s="120"/>
      <c r="FMC88" s="120"/>
      <c r="FMD88" s="120"/>
      <c r="FME88" s="120"/>
      <c r="FMF88" s="120"/>
      <c r="FMG88" s="120"/>
      <c r="FMH88" s="120"/>
      <c r="FMI88" s="120"/>
      <c r="FMJ88" s="120"/>
      <c r="FMK88" s="120"/>
      <c r="FML88" s="120"/>
      <c r="FMM88" s="120"/>
      <c r="FMN88" s="120"/>
      <c r="FMO88" s="120"/>
      <c r="FMP88" s="120"/>
      <c r="FMQ88" s="120"/>
      <c r="FMR88" s="120"/>
      <c r="FMS88" s="120"/>
      <c r="FMT88" s="120"/>
      <c r="FMU88" s="120"/>
      <c r="FMV88" s="120"/>
      <c r="FMW88" s="120"/>
      <c r="FMX88" s="120"/>
      <c r="FMY88" s="120"/>
      <c r="FMZ88" s="120"/>
      <c r="FNA88" s="120"/>
      <c r="FNB88" s="120"/>
      <c r="FNC88" s="120"/>
      <c r="FND88" s="120"/>
      <c r="FNE88" s="120"/>
      <c r="FNF88" s="120"/>
      <c r="FNG88" s="120"/>
      <c r="FNH88" s="120"/>
      <c r="FNI88" s="120"/>
      <c r="FNJ88" s="120"/>
      <c r="FNK88" s="120"/>
      <c r="FNL88" s="120"/>
      <c r="FNM88" s="120"/>
      <c r="FNN88" s="120"/>
      <c r="FNO88" s="120"/>
      <c r="FNP88" s="120"/>
      <c r="FNQ88" s="120"/>
      <c r="FNR88" s="120"/>
      <c r="FNS88" s="120"/>
      <c r="FNT88" s="120"/>
      <c r="FNU88" s="120"/>
      <c r="FNV88" s="120"/>
      <c r="FNW88" s="120"/>
      <c r="FNX88" s="120"/>
      <c r="FNY88" s="120"/>
      <c r="FNZ88" s="120"/>
      <c r="FOA88" s="120"/>
      <c r="FOB88" s="120"/>
      <c r="FOC88" s="120"/>
      <c r="FOD88" s="120"/>
      <c r="FOE88" s="120"/>
      <c r="FOF88" s="120"/>
      <c r="FOG88" s="120"/>
      <c r="FOH88" s="120"/>
      <c r="FOI88" s="120"/>
      <c r="FOJ88" s="120"/>
      <c r="FOK88" s="120"/>
      <c r="FOL88" s="120"/>
      <c r="FOM88" s="120"/>
      <c r="FON88" s="120"/>
      <c r="FOO88" s="120"/>
      <c r="FOP88" s="120"/>
      <c r="FOQ88" s="120"/>
      <c r="FOR88" s="120"/>
      <c r="FOS88" s="120"/>
      <c r="FOT88" s="120"/>
      <c r="FOU88" s="120"/>
      <c r="FOV88" s="120"/>
      <c r="FOW88" s="120"/>
      <c r="FOX88" s="120"/>
      <c r="FOY88" s="120"/>
      <c r="FOZ88" s="120"/>
      <c r="FPA88" s="120"/>
      <c r="FPB88" s="120"/>
      <c r="FPC88" s="120"/>
      <c r="FPD88" s="120"/>
      <c r="FPE88" s="120"/>
      <c r="FPF88" s="120"/>
      <c r="FPG88" s="120"/>
      <c r="FPH88" s="120"/>
      <c r="FPI88" s="120"/>
      <c r="FPJ88" s="120"/>
      <c r="FPK88" s="120"/>
      <c r="FPL88" s="120"/>
      <c r="FPM88" s="120"/>
      <c r="FPN88" s="120"/>
      <c r="FPO88" s="120"/>
      <c r="FPP88" s="120"/>
      <c r="FPQ88" s="120"/>
      <c r="FPR88" s="120"/>
      <c r="FPS88" s="120"/>
      <c r="FPT88" s="120"/>
      <c r="FPU88" s="120"/>
      <c r="FPV88" s="120"/>
      <c r="FPW88" s="120"/>
      <c r="FPX88" s="120"/>
      <c r="FPY88" s="120"/>
      <c r="FPZ88" s="120"/>
      <c r="FQA88" s="120"/>
      <c r="FQB88" s="120"/>
      <c r="FQC88" s="120"/>
      <c r="FQD88" s="120"/>
      <c r="FQE88" s="120"/>
      <c r="FQF88" s="120"/>
      <c r="FQG88" s="120"/>
      <c r="FQH88" s="120"/>
      <c r="FQI88" s="120"/>
      <c r="FQJ88" s="120"/>
      <c r="FQK88" s="120"/>
      <c r="FQL88" s="120"/>
      <c r="FQM88" s="120"/>
      <c r="FQN88" s="120"/>
      <c r="FQO88" s="120"/>
      <c r="FQP88" s="120"/>
      <c r="FQQ88" s="120"/>
      <c r="FQR88" s="120"/>
      <c r="FQS88" s="120"/>
      <c r="FQT88" s="120"/>
      <c r="FQU88" s="120"/>
      <c r="FQV88" s="120"/>
      <c r="FQW88" s="120"/>
      <c r="FQX88" s="120"/>
      <c r="FQY88" s="120"/>
      <c r="FQZ88" s="120"/>
      <c r="FRA88" s="120"/>
      <c r="FRB88" s="120"/>
      <c r="FRC88" s="120"/>
      <c r="FRD88" s="120"/>
      <c r="FRE88" s="120"/>
      <c r="FRF88" s="120"/>
      <c r="FRG88" s="120"/>
      <c r="FRH88" s="120"/>
      <c r="FRI88" s="120"/>
      <c r="FRJ88" s="120"/>
      <c r="FRK88" s="120"/>
      <c r="FRL88" s="120"/>
      <c r="FRM88" s="120"/>
      <c r="FRN88" s="120"/>
      <c r="FRO88" s="120"/>
      <c r="FRP88" s="120"/>
      <c r="FRQ88" s="120"/>
      <c r="FRR88" s="120"/>
      <c r="FRS88" s="120"/>
      <c r="FRT88" s="120"/>
      <c r="FRU88" s="120"/>
      <c r="FRV88" s="120"/>
      <c r="FRW88" s="120"/>
      <c r="FRX88" s="120"/>
      <c r="FRY88" s="120"/>
      <c r="FRZ88" s="120"/>
      <c r="FSA88" s="120"/>
      <c r="FSB88" s="120"/>
      <c r="FSC88" s="120"/>
      <c r="FSD88" s="120"/>
      <c r="FSE88" s="120"/>
      <c r="FSF88" s="120"/>
      <c r="FSG88" s="120"/>
      <c r="FSH88" s="120"/>
      <c r="FSI88" s="120"/>
      <c r="FSJ88" s="120"/>
      <c r="FSK88" s="120"/>
      <c r="FSL88" s="120"/>
      <c r="FSM88" s="120"/>
      <c r="FSN88" s="120"/>
      <c r="FSO88" s="120"/>
      <c r="FSP88" s="120"/>
      <c r="FSQ88" s="120"/>
      <c r="FSR88" s="120"/>
      <c r="FSS88" s="120"/>
      <c r="FST88" s="120"/>
      <c r="FSU88" s="120"/>
      <c r="FSV88" s="120"/>
      <c r="FSW88" s="120"/>
      <c r="FSX88" s="120"/>
      <c r="FSY88" s="120"/>
      <c r="FSZ88" s="120"/>
      <c r="FTA88" s="120"/>
      <c r="FTB88" s="120"/>
      <c r="FTC88" s="120"/>
      <c r="FTD88" s="120"/>
      <c r="FTE88" s="120"/>
      <c r="FTF88" s="120"/>
      <c r="FTG88" s="120"/>
      <c r="FTH88" s="120"/>
      <c r="FTI88" s="120"/>
      <c r="FTJ88" s="120"/>
      <c r="FTK88" s="120"/>
      <c r="FTL88" s="120"/>
      <c r="FTM88" s="120"/>
      <c r="FTN88" s="120"/>
      <c r="FTO88" s="120"/>
      <c r="FTP88" s="120"/>
      <c r="FTQ88" s="120"/>
      <c r="FTR88" s="120"/>
      <c r="FTS88" s="120"/>
      <c r="FTT88" s="120"/>
      <c r="FTU88" s="120"/>
      <c r="FTV88" s="120"/>
      <c r="FTW88" s="120"/>
      <c r="FTX88" s="120"/>
      <c r="FTY88" s="120"/>
      <c r="FTZ88" s="120"/>
      <c r="FUA88" s="120"/>
      <c r="FUB88" s="120"/>
      <c r="FUC88" s="120"/>
      <c r="FUD88" s="120"/>
      <c r="FUE88" s="120"/>
      <c r="FUF88" s="120"/>
      <c r="FUG88" s="120"/>
      <c r="FUH88" s="120"/>
      <c r="FUI88" s="120"/>
      <c r="FUJ88" s="120"/>
      <c r="FUK88" s="120"/>
      <c r="FUL88" s="120"/>
      <c r="FUM88" s="120"/>
      <c r="FUN88" s="120"/>
      <c r="FUO88" s="120"/>
      <c r="FUP88" s="120"/>
      <c r="FUQ88" s="120"/>
      <c r="FUR88" s="120"/>
      <c r="FUS88" s="120"/>
      <c r="FUT88" s="120"/>
      <c r="FUU88" s="120"/>
      <c r="FUV88" s="120"/>
      <c r="FUW88" s="120"/>
      <c r="FUX88" s="120"/>
      <c r="FUY88" s="120"/>
      <c r="FUZ88" s="120"/>
      <c r="FVA88" s="120"/>
      <c r="FVB88" s="120"/>
      <c r="FVC88" s="120"/>
      <c r="FVD88" s="120"/>
      <c r="FVE88" s="120"/>
      <c r="FVF88" s="120"/>
      <c r="FVG88" s="120"/>
      <c r="FVH88" s="120"/>
      <c r="FVI88" s="120"/>
      <c r="FVJ88" s="120"/>
      <c r="FVK88" s="120"/>
      <c r="FVL88" s="120"/>
      <c r="FVM88" s="120"/>
      <c r="FVN88" s="120"/>
      <c r="FVO88" s="120"/>
      <c r="FVP88" s="120"/>
      <c r="FVQ88" s="120"/>
      <c r="FVR88" s="120"/>
      <c r="FVS88" s="120"/>
      <c r="FVT88" s="120"/>
      <c r="FVU88" s="120"/>
      <c r="FVV88" s="120"/>
      <c r="FVW88" s="120"/>
      <c r="FVX88" s="120"/>
      <c r="FVY88" s="120"/>
      <c r="FVZ88" s="120"/>
      <c r="FWA88" s="120"/>
      <c r="FWB88" s="120"/>
      <c r="FWC88" s="120"/>
      <c r="FWD88" s="120"/>
      <c r="FWE88" s="120"/>
      <c r="FWF88" s="120"/>
      <c r="FWG88" s="120"/>
      <c r="FWH88" s="120"/>
      <c r="FWI88" s="120"/>
      <c r="FWJ88" s="120"/>
      <c r="FWK88" s="120"/>
      <c r="FWL88" s="120"/>
      <c r="FWM88" s="120"/>
      <c r="FWN88" s="120"/>
      <c r="FWO88" s="120"/>
      <c r="FWP88" s="120"/>
      <c r="FWQ88" s="120"/>
      <c r="FWR88" s="120"/>
      <c r="FWS88" s="120"/>
      <c r="FWT88" s="120"/>
      <c r="FWU88" s="120"/>
      <c r="FWV88" s="120"/>
      <c r="FWW88" s="120"/>
      <c r="FWX88" s="120"/>
      <c r="FWY88" s="120"/>
      <c r="FWZ88" s="120"/>
      <c r="FXA88" s="120"/>
      <c r="FXB88" s="120"/>
      <c r="FXC88" s="120"/>
      <c r="FXD88" s="120"/>
      <c r="FXE88" s="120"/>
      <c r="FXF88" s="120"/>
      <c r="FXG88" s="120"/>
      <c r="FXH88" s="120"/>
      <c r="FXI88" s="120"/>
      <c r="FXJ88" s="120"/>
      <c r="FXK88" s="120"/>
      <c r="FXL88" s="120"/>
      <c r="FXM88" s="120"/>
      <c r="FXN88" s="120"/>
      <c r="FXO88" s="120"/>
      <c r="FXP88" s="120"/>
      <c r="FXQ88" s="120"/>
      <c r="FXR88" s="120"/>
      <c r="FXS88" s="120"/>
      <c r="FXT88" s="120"/>
      <c r="FXU88" s="120"/>
      <c r="FXV88" s="120"/>
      <c r="FXW88" s="120"/>
      <c r="FXX88" s="120"/>
      <c r="FXY88" s="120"/>
      <c r="FXZ88" s="120"/>
      <c r="FYA88" s="120"/>
      <c r="FYB88" s="120"/>
      <c r="FYC88" s="120"/>
      <c r="FYD88" s="120"/>
      <c r="FYE88" s="120"/>
      <c r="FYF88" s="120"/>
      <c r="FYG88" s="120"/>
      <c r="FYH88" s="120"/>
      <c r="FYI88" s="120"/>
      <c r="FYJ88" s="120"/>
      <c r="FYK88" s="120"/>
      <c r="FYL88" s="120"/>
      <c r="FYM88" s="120"/>
      <c r="FYN88" s="120"/>
      <c r="FYO88" s="120"/>
      <c r="FYP88" s="120"/>
      <c r="FYQ88" s="120"/>
      <c r="FYR88" s="120"/>
      <c r="FYS88" s="120"/>
      <c r="FYT88" s="120"/>
      <c r="FYU88" s="120"/>
      <c r="FYV88" s="120"/>
      <c r="FYW88" s="120"/>
      <c r="FYX88" s="120"/>
      <c r="FYY88" s="120"/>
      <c r="FYZ88" s="120"/>
      <c r="FZA88" s="120"/>
      <c r="FZB88" s="120"/>
      <c r="FZC88" s="120"/>
      <c r="FZD88" s="120"/>
      <c r="FZE88" s="120"/>
      <c r="FZF88" s="120"/>
      <c r="FZG88" s="120"/>
      <c r="FZH88" s="120"/>
      <c r="FZI88" s="120"/>
      <c r="FZJ88" s="120"/>
      <c r="FZK88" s="120"/>
      <c r="FZL88" s="120"/>
      <c r="FZM88" s="120"/>
      <c r="FZN88" s="120"/>
      <c r="FZO88" s="120"/>
      <c r="FZP88" s="120"/>
      <c r="FZQ88" s="120"/>
      <c r="FZR88" s="120"/>
      <c r="FZS88" s="120"/>
      <c r="FZT88" s="120"/>
      <c r="FZU88" s="120"/>
      <c r="FZV88" s="120"/>
      <c r="FZW88" s="120"/>
      <c r="FZX88" s="120"/>
      <c r="FZY88" s="120"/>
      <c r="FZZ88" s="120"/>
      <c r="GAA88" s="120"/>
      <c r="GAB88" s="120"/>
      <c r="GAC88" s="120"/>
      <c r="GAD88" s="120"/>
      <c r="GAE88" s="120"/>
      <c r="GAF88" s="120"/>
      <c r="GAG88" s="120"/>
      <c r="GAH88" s="120"/>
      <c r="GAI88" s="120"/>
      <c r="GAJ88" s="120"/>
      <c r="GAK88" s="120"/>
      <c r="GAL88" s="120"/>
      <c r="GAM88" s="120"/>
      <c r="GAN88" s="120"/>
      <c r="GAO88" s="120"/>
      <c r="GAP88" s="120"/>
      <c r="GAQ88" s="120"/>
      <c r="GAR88" s="120"/>
      <c r="GAS88" s="120"/>
      <c r="GAT88" s="120"/>
      <c r="GAU88" s="120"/>
      <c r="GAV88" s="120"/>
      <c r="GAW88" s="120"/>
      <c r="GAX88" s="120"/>
      <c r="GAY88" s="120"/>
      <c r="GAZ88" s="120"/>
      <c r="GBA88" s="120"/>
      <c r="GBB88" s="120"/>
      <c r="GBC88" s="120"/>
      <c r="GBD88" s="120"/>
      <c r="GBE88" s="120"/>
      <c r="GBF88" s="120"/>
      <c r="GBG88" s="120"/>
      <c r="GBH88" s="120"/>
      <c r="GBI88" s="120"/>
      <c r="GBJ88" s="120"/>
      <c r="GBK88" s="120"/>
      <c r="GBL88" s="120"/>
      <c r="GBM88" s="120"/>
      <c r="GBN88" s="120"/>
      <c r="GBO88" s="120"/>
      <c r="GBP88" s="120"/>
      <c r="GBQ88" s="120"/>
      <c r="GBR88" s="120"/>
      <c r="GBS88" s="120"/>
      <c r="GBT88" s="120"/>
      <c r="GBU88" s="120"/>
      <c r="GBV88" s="120"/>
      <c r="GBW88" s="120"/>
      <c r="GBX88" s="120"/>
      <c r="GBY88" s="120"/>
      <c r="GBZ88" s="120"/>
      <c r="GCA88" s="120"/>
      <c r="GCB88" s="120"/>
      <c r="GCC88" s="120"/>
      <c r="GCD88" s="120"/>
      <c r="GCE88" s="120"/>
      <c r="GCF88" s="120"/>
      <c r="GCG88" s="120"/>
      <c r="GCH88" s="120"/>
      <c r="GCI88" s="120"/>
      <c r="GCJ88" s="120"/>
      <c r="GCK88" s="120"/>
      <c r="GCL88" s="120"/>
      <c r="GCM88" s="120"/>
      <c r="GCN88" s="120"/>
      <c r="GCO88" s="120"/>
      <c r="GCP88" s="120"/>
      <c r="GCQ88" s="120"/>
      <c r="GCR88" s="120"/>
      <c r="GCS88" s="120"/>
      <c r="GCT88" s="120"/>
      <c r="GCU88" s="120"/>
      <c r="GCV88" s="120"/>
      <c r="GCW88" s="120"/>
      <c r="GCX88" s="120"/>
      <c r="GCY88" s="120"/>
      <c r="GCZ88" s="120"/>
      <c r="GDA88" s="120"/>
      <c r="GDB88" s="120"/>
      <c r="GDC88" s="120"/>
      <c r="GDD88" s="120"/>
      <c r="GDE88" s="120"/>
      <c r="GDF88" s="120"/>
      <c r="GDG88" s="120"/>
      <c r="GDH88" s="120"/>
      <c r="GDI88" s="120"/>
      <c r="GDJ88" s="120"/>
      <c r="GDK88" s="120"/>
      <c r="GDL88" s="120"/>
      <c r="GDM88" s="120"/>
      <c r="GDN88" s="120"/>
      <c r="GDO88" s="120"/>
      <c r="GDP88" s="120"/>
      <c r="GDQ88" s="120"/>
      <c r="GDR88" s="120"/>
      <c r="GDS88" s="120"/>
      <c r="GDT88" s="120"/>
      <c r="GDU88" s="120"/>
      <c r="GDV88" s="120"/>
      <c r="GDW88" s="120"/>
      <c r="GDX88" s="120"/>
      <c r="GDY88" s="120"/>
      <c r="GDZ88" s="120"/>
      <c r="GEA88" s="120"/>
      <c r="GEB88" s="120"/>
      <c r="GEC88" s="120"/>
      <c r="GED88" s="120"/>
      <c r="GEE88" s="120"/>
      <c r="GEF88" s="120"/>
      <c r="GEG88" s="120"/>
      <c r="GEH88" s="120"/>
      <c r="GEI88" s="120"/>
      <c r="GEJ88" s="120"/>
      <c r="GEK88" s="120"/>
      <c r="GEL88" s="120"/>
      <c r="GEM88" s="120"/>
      <c r="GEN88" s="120"/>
      <c r="GEO88" s="120"/>
      <c r="GEP88" s="120"/>
      <c r="GEQ88" s="120"/>
      <c r="GER88" s="120"/>
      <c r="GES88" s="120"/>
      <c r="GET88" s="120"/>
      <c r="GEU88" s="120"/>
      <c r="GEV88" s="120"/>
      <c r="GEW88" s="120"/>
      <c r="GEX88" s="120"/>
      <c r="GEY88" s="120"/>
      <c r="GEZ88" s="120"/>
      <c r="GFA88" s="120"/>
      <c r="GFB88" s="120"/>
      <c r="GFC88" s="120"/>
      <c r="GFD88" s="120"/>
      <c r="GFE88" s="120"/>
      <c r="GFF88" s="120"/>
      <c r="GFG88" s="120"/>
      <c r="GFH88" s="120"/>
      <c r="GFI88" s="120"/>
      <c r="GFJ88" s="120"/>
      <c r="GFK88" s="120"/>
      <c r="GFL88" s="120"/>
      <c r="GFM88" s="120"/>
      <c r="GFN88" s="120"/>
      <c r="GFO88" s="120"/>
      <c r="GFP88" s="120"/>
      <c r="GFQ88" s="120"/>
      <c r="GFR88" s="120"/>
      <c r="GFS88" s="120"/>
      <c r="GFT88" s="120"/>
      <c r="GFU88" s="120"/>
      <c r="GFV88" s="120"/>
      <c r="GFW88" s="120"/>
      <c r="GFX88" s="120"/>
      <c r="GFY88" s="120"/>
      <c r="GFZ88" s="120"/>
      <c r="GGA88" s="120"/>
      <c r="GGB88" s="120"/>
      <c r="GGC88" s="120"/>
      <c r="GGD88" s="120"/>
      <c r="GGE88" s="120"/>
      <c r="GGF88" s="120"/>
      <c r="GGG88" s="120"/>
      <c r="GGH88" s="120"/>
      <c r="GGI88" s="120"/>
      <c r="GGJ88" s="120"/>
      <c r="GGK88" s="120"/>
      <c r="GGL88" s="120"/>
      <c r="GGM88" s="120"/>
      <c r="GGN88" s="120"/>
      <c r="GGO88" s="120"/>
      <c r="GGP88" s="120"/>
      <c r="GGQ88" s="120"/>
      <c r="GGR88" s="120"/>
      <c r="GGS88" s="120"/>
      <c r="GGT88" s="120"/>
      <c r="GGU88" s="120"/>
      <c r="GGV88" s="120"/>
      <c r="GGW88" s="120"/>
      <c r="GGX88" s="120"/>
      <c r="GGY88" s="120"/>
      <c r="GGZ88" s="120"/>
      <c r="GHA88" s="120"/>
      <c r="GHB88" s="120"/>
      <c r="GHC88" s="120"/>
      <c r="GHD88" s="120"/>
      <c r="GHE88" s="120"/>
      <c r="GHF88" s="120"/>
      <c r="GHG88" s="120"/>
      <c r="GHH88" s="120"/>
      <c r="GHI88" s="120"/>
      <c r="GHJ88" s="120"/>
      <c r="GHK88" s="120"/>
      <c r="GHL88" s="120"/>
      <c r="GHM88" s="120"/>
      <c r="GHN88" s="120"/>
      <c r="GHO88" s="120"/>
      <c r="GHP88" s="120"/>
      <c r="GHQ88" s="120"/>
      <c r="GHR88" s="120"/>
      <c r="GHS88" s="120"/>
      <c r="GHT88" s="120"/>
      <c r="GHU88" s="120"/>
      <c r="GHV88" s="120"/>
      <c r="GHW88" s="120"/>
      <c r="GHX88" s="120"/>
      <c r="GHY88" s="120"/>
      <c r="GHZ88" s="120"/>
      <c r="GIA88" s="120"/>
      <c r="GIB88" s="120"/>
      <c r="GIC88" s="120"/>
      <c r="GID88" s="120"/>
      <c r="GIE88" s="120"/>
      <c r="GIF88" s="120"/>
      <c r="GIG88" s="120"/>
      <c r="GIH88" s="120"/>
      <c r="GII88" s="120"/>
      <c r="GIJ88" s="120"/>
      <c r="GIK88" s="120"/>
      <c r="GIL88" s="120"/>
      <c r="GIM88" s="120"/>
      <c r="GIN88" s="120"/>
      <c r="GIO88" s="120"/>
      <c r="GIP88" s="120"/>
      <c r="GIQ88" s="120"/>
      <c r="GIR88" s="120"/>
      <c r="GIS88" s="120"/>
      <c r="GIT88" s="120"/>
      <c r="GIU88" s="120"/>
      <c r="GIV88" s="120"/>
      <c r="GIW88" s="120"/>
      <c r="GIX88" s="120"/>
      <c r="GIY88" s="120"/>
      <c r="GIZ88" s="120"/>
      <c r="GJA88" s="120"/>
      <c r="GJB88" s="120"/>
      <c r="GJC88" s="120"/>
      <c r="GJD88" s="120"/>
      <c r="GJE88" s="120"/>
      <c r="GJF88" s="120"/>
      <c r="GJG88" s="120"/>
      <c r="GJH88" s="120"/>
      <c r="GJI88" s="120"/>
      <c r="GJJ88" s="120"/>
      <c r="GJK88" s="120"/>
      <c r="GJL88" s="120"/>
      <c r="GJM88" s="120"/>
      <c r="GJN88" s="120"/>
      <c r="GJO88" s="120"/>
      <c r="GJP88" s="120"/>
      <c r="GJQ88" s="120"/>
      <c r="GJR88" s="120"/>
      <c r="GJS88" s="120"/>
      <c r="GJT88" s="120"/>
      <c r="GJU88" s="120"/>
      <c r="GJV88" s="120"/>
      <c r="GJW88" s="120"/>
      <c r="GJX88" s="120"/>
      <c r="GJY88" s="120"/>
      <c r="GJZ88" s="120"/>
      <c r="GKA88" s="120"/>
      <c r="GKB88" s="120"/>
      <c r="GKC88" s="120"/>
      <c r="GKD88" s="120"/>
      <c r="GKE88" s="120"/>
      <c r="GKF88" s="120"/>
      <c r="GKG88" s="120"/>
      <c r="GKH88" s="120"/>
      <c r="GKI88" s="120"/>
      <c r="GKJ88" s="120"/>
      <c r="GKK88" s="120"/>
      <c r="GKL88" s="120"/>
      <c r="GKM88" s="120"/>
      <c r="GKN88" s="120"/>
      <c r="GKO88" s="120"/>
      <c r="GKP88" s="120"/>
      <c r="GKQ88" s="120"/>
      <c r="GKR88" s="120"/>
      <c r="GKS88" s="120"/>
      <c r="GKT88" s="120"/>
      <c r="GKU88" s="120"/>
      <c r="GKV88" s="120"/>
      <c r="GKW88" s="120"/>
      <c r="GKX88" s="120"/>
      <c r="GKY88" s="120"/>
      <c r="GKZ88" s="120"/>
      <c r="GLA88" s="120"/>
      <c r="GLB88" s="120"/>
      <c r="GLC88" s="120"/>
      <c r="GLD88" s="120"/>
      <c r="GLE88" s="120"/>
      <c r="GLF88" s="120"/>
      <c r="GLG88" s="120"/>
      <c r="GLH88" s="120"/>
      <c r="GLI88" s="120"/>
      <c r="GLJ88" s="120"/>
      <c r="GLK88" s="120"/>
      <c r="GLL88" s="120"/>
      <c r="GLM88" s="120"/>
      <c r="GLN88" s="120"/>
      <c r="GLO88" s="120"/>
      <c r="GLP88" s="120"/>
      <c r="GLQ88" s="120"/>
      <c r="GLR88" s="120"/>
      <c r="GLS88" s="120"/>
      <c r="GLT88" s="120"/>
      <c r="GLU88" s="120"/>
      <c r="GLV88" s="120"/>
      <c r="GLW88" s="120"/>
      <c r="GLX88" s="120"/>
      <c r="GLY88" s="120"/>
      <c r="GLZ88" s="120"/>
      <c r="GMA88" s="120"/>
      <c r="GMB88" s="120"/>
      <c r="GMC88" s="120"/>
      <c r="GMD88" s="120"/>
      <c r="GME88" s="120"/>
      <c r="GMF88" s="120"/>
      <c r="GMG88" s="120"/>
      <c r="GMH88" s="120"/>
      <c r="GMI88" s="120"/>
      <c r="GMJ88" s="120"/>
      <c r="GMK88" s="120"/>
      <c r="GML88" s="120"/>
      <c r="GMM88" s="120"/>
      <c r="GMN88" s="120"/>
      <c r="GMO88" s="120"/>
      <c r="GMP88" s="120"/>
      <c r="GMQ88" s="120"/>
      <c r="GMR88" s="120"/>
      <c r="GMS88" s="120"/>
      <c r="GMT88" s="120"/>
      <c r="GMU88" s="120"/>
      <c r="GMV88" s="120"/>
      <c r="GMW88" s="120"/>
      <c r="GMX88" s="120"/>
      <c r="GMY88" s="120"/>
      <c r="GMZ88" s="120"/>
      <c r="GNA88" s="120"/>
      <c r="GNB88" s="120"/>
      <c r="GNC88" s="120"/>
      <c r="GND88" s="120"/>
      <c r="GNE88" s="120"/>
      <c r="GNF88" s="120"/>
      <c r="GNG88" s="120"/>
      <c r="GNH88" s="120"/>
      <c r="GNI88" s="120"/>
      <c r="GNJ88" s="120"/>
      <c r="GNK88" s="120"/>
      <c r="GNL88" s="120"/>
      <c r="GNM88" s="120"/>
      <c r="GNN88" s="120"/>
      <c r="GNO88" s="120"/>
      <c r="GNP88" s="120"/>
      <c r="GNQ88" s="120"/>
      <c r="GNR88" s="120"/>
      <c r="GNS88" s="120"/>
      <c r="GNT88" s="120"/>
      <c r="GNU88" s="120"/>
      <c r="GNV88" s="120"/>
      <c r="GNW88" s="120"/>
      <c r="GNX88" s="120"/>
      <c r="GNY88" s="120"/>
      <c r="GNZ88" s="120"/>
      <c r="GOA88" s="120"/>
      <c r="GOB88" s="120"/>
      <c r="GOC88" s="120"/>
      <c r="GOD88" s="120"/>
      <c r="GOE88" s="120"/>
      <c r="GOF88" s="120"/>
      <c r="GOG88" s="120"/>
      <c r="GOH88" s="120"/>
      <c r="GOI88" s="120"/>
      <c r="GOJ88" s="120"/>
      <c r="GOK88" s="120"/>
      <c r="GOL88" s="120"/>
      <c r="GOM88" s="120"/>
      <c r="GON88" s="120"/>
      <c r="GOO88" s="120"/>
      <c r="GOP88" s="120"/>
      <c r="GOQ88" s="120"/>
      <c r="GOR88" s="120"/>
      <c r="GOS88" s="120"/>
      <c r="GOT88" s="120"/>
      <c r="GOU88" s="120"/>
      <c r="GOV88" s="120"/>
      <c r="GOW88" s="120"/>
      <c r="GOX88" s="120"/>
      <c r="GOY88" s="120"/>
      <c r="GOZ88" s="120"/>
      <c r="GPA88" s="120"/>
      <c r="GPB88" s="120"/>
      <c r="GPC88" s="120"/>
      <c r="GPD88" s="120"/>
      <c r="GPE88" s="120"/>
      <c r="GPF88" s="120"/>
      <c r="GPG88" s="120"/>
      <c r="GPH88" s="120"/>
      <c r="GPI88" s="120"/>
      <c r="GPJ88" s="120"/>
      <c r="GPK88" s="120"/>
      <c r="GPL88" s="120"/>
      <c r="GPM88" s="120"/>
      <c r="GPN88" s="120"/>
      <c r="GPO88" s="120"/>
      <c r="GPP88" s="120"/>
      <c r="GPQ88" s="120"/>
      <c r="GPR88" s="120"/>
      <c r="GPS88" s="120"/>
      <c r="GPT88" s="120"/>
      <c r="GPU88" s="120"/>
      <c r="GPV88" s="120"/>
      <c r="GPW88" s="120"/>
      <c r="GPX88" s="120"/>
      <c r="GPY88" s="120"/>
      <c r="GPZ88" s="120"/>
      <c r="GQA88" s="120"/>
      <c r="GQB88" s="120"/>
      <c r="GQC88" s="120"/>
      <c r="GQD88" s="120"/>
      <c r="GQE88" s="120"/>
      <c r="GQF88" s="120"/>
      <c r="GQG88" s="120"/>
      <c r="GQH88" s="120"/>
      <c r="GQI88" s="120"/>
      <c r="GQJ88" s="120"/>
      <c r="GQK88" s="120"/>
      <c r="GQL88" s="120"/>
      <c r="GQM88" s="120"/>
      <c r="GQN88" s="120"/>
      <c r="GQO88" s="120"/>
      <c r="GQP88" s="120"/>
      <c r="GQQ88" s="120"/>
      <c r="GQR88" s="120"/>
      <c r="GQS88" s="120"/>
      <c r="GQT88" s="120"/>
      <c r="GQU88" s="120"/>
      <c r="GQV88" s="120"/>
      <c r="GQW88" s="120"/>
      <c r="GQX88" s="120"/>
      <c r="GQY88" s="120"/>
      <c r="GQZ88" s="120"/>
      <c r="GRA88" s="120"/>
      <c r="GRB88" s="120"/>
      <c r="GRC88" s="120"/>
      <c r="GRD88" s="120"/>
      <c r="GRE88" s="120"/>
      <c r="GRF88" s="120"/>
      <c r="GRG88" s="120"/>
      <c r="GRH88" s="120"/>
      <c r="GRI88" s="120"/>
      <c r="GRJ88" s="120"/>
      <c r="GRK88" s="120"/>
      <c r="GRL88" s="120"/>
      <c r="GRM88" s="120"/>
      <c r="GRN88" s="120"/>
      <c r="GRO88" s="120"/>
      <c r="GRP88" s="120"/>
      <c r="GRQ88" s="120"/>
      <c r="GRR88" s="120"/>
      <c r="GRS88" s="120"/>
      <c r="GRT88" s="120"/>
      <c r="GRU88" s="120"/>
      <c r="GRV88" s="120"/>
      <c r="GRW88" s="120"/>
      <c r="GRX88" s="120"/>
      <c r="GRY88" s="120"/>
      <c r="GRZ88" s="120"/>
      <c r="GSA88" s="120"/>
      <c r="GSB88" s="120"/>
      <c r="GSC88" s="120"/>
      <c r="GSD88" s="120"/>
      <c r="GSE88" s="120"/>
      <c r="GSF88" s="120"/>
      <c r="GSG88" s="120"/>
      <c r="GSH88" s="120"/>
      <c r="GSI88" s="120"/>
      <c r="GSJ88" s="120"/>
      <c r="GSK88" s="120"/>
      <c r="GSL88" s="120"/>
      <c r="GSM88" s="120"/>
      <c r="GSN88" s="120"/>
      <c r="GSO88" s="120"/>
      <c r="GSP88" s="120"/>
      <c r="GSQ88" s="120"/>
      <c r="GSR88" s="120"/>
      <c r="GSS88" s="120"/>
      <c r="GST88" s="120"/>
      <c r="GSU88" s="120"/>
      <c r="GSV88" s="120"/>
      <c r="GSW88" s="120"/>
      <c r="GSX88" s="120"/>
      <c r="GSY88" s="120"/>
      <c r="GSZ88" s="120"/>
      <c r="GTA88" s="120"/>
      <c r="GTB88" s="120"/>
      <c r="GTC88" s="120"/>
      <c r="GTD88" s="120"/>
      <c r="GTE88" s="120"/>
      <c r="GTF88" s="120"/>
      <c r="GTG88" s="120"/>
      <c r="GTH88" s="120"/>
      <c r="GTI88" s="120"/>
      <c r="GTJ88" s="120"/>
      <c r="GTK88" s="120"/>
      <c r="GTL88" s="120"/>
      <c r="GTM88" s="120"/>
      <c r="GTN88" s="120"/>
      <c r="GTO88" s="120"/>
      <c r="GTP88" s="120"/>
      <c r="GTQ88" s="120"/>
      <c r="GTR88" s="120"/>
      <c r="GTS88" s="120"/>
      <c r="GTT88" s="120"/>
      <c r="GTU88" s="120"/>
      <c r="GTV88" s="120"/>
      <c r="GTW88" s="120"/>
      <c r="GTX88" s="120"/>
      <c r="GTY88" s="120"/>
      <c r="GTZ88" s="120"/>
      <c r="GUA88" s="120"/>
      <c r="GUB88" s="120"/>
      <c r="GUC88" s="120"/>
      <c r="GUD88" s="120"/>
      <c r="GUE88" s="120"/>
      <c r="GUF88" s="120"/>
      <c r="GUG88" s="120"/>
      <c r="GUH88" s="120"/>
      <c r="GUI88" s="120"/>
      <c r="GUJ88" s="120"/>
      <c r="GUK88" s="120"/>
      <c r="GUL88" s="120"/>
      <c r="GUM88" s="120"/>
      <c r="GUN88" s="120"/>
      <c r="GUO88" s="120"/>
      <c r="GUP88" s="120"/>
      <c r="GUQ88" s="120"/>
      <c r="GUR88" s="120"/>
      <c r="GUS88" s="120"/>
      <c r="GUT88" s="120"/>
      <c r="GUU88" s="120"/>
      <c r="GUV88" s="120"/>
      <c r="GUW88" s="120"/>
      <c r="GUX88" s="120"/>
      <c r="GUY88" s="120"/>
      <c r="GUZ88" s="120"/>
      <c r="GVA88" s="120"/>
      <c r="GVB88" s="120"/>
      <c r="GVC88" s="120"/>
      <c r="GVD88" s="120"/>
      <c r="GVE88" s="120"/>
      <c r="GVF88" s="120"/>
      <c r="GVG88" s="120"/>
      <c r="GVH88" s="120"/>
      <c r="GVI88" s="120"/>
      <c r="GVJ88" s="120"/>
      <c r="GVK88" s="120"/>
      <c r="GVL88" s="120"/>
      <c r="GVM88" s="120"/>
      <c r="GVN88" s="120"/>
      <c r="GVO88" s="120"/>
      <c r="GVP88" s="120"/>
      <c r="GVQ88" s="120"/>
      <c r="GVR88" s="120"/>
      <c r="GVS88" s="120"/>
      <c r="GVT88" s="120"/>
      <c r="GVU88" s="120"/>
      <c r="GVV88" s="120"/>
      <c r="GVW88" s="120"/>
      <c r="GVX88" s="120"/>
      <c r="GVY88" s="120"/>
      <c r="GVZ88" s="120"/>
      <c r="GWA88" s="120"/>
      <c r="GWB88" s="120"/>
      <c r="GWC88" s="120"/>
      <c r="GWD88" s="120"/>
      <c r="GWE88" s="120"/>
      <c r="GWF88" s="120"/>
      <c r="GWG88" s="120"/>
      <c r="GWH88" s="120"/>
      <c r="GWI88" s="120"/>
      <c r="GWJ88" s="120"/>
      <c r="GWK88" s="120"/>
      <c r="GWL88" s="120"/>
      <c r="GWM88" s="120"/>
      <c r="GWN88" s="120"/>
      <c r="GWO88" s="120"/>
      <c r="GWP88" s="120"/>
      <c r="GWQ88" s="120"/>
      <c r="GWR88" s="120"/>
      <c r="GWS88" s="120"/>
      <c r="GWT88" s="120"/>
      <c r="GWU88" s="120"/>
      <c r="GWV88" s="120"/>
      <c r="GWW88" s="120"/>
      <c r="GWX88" s="120"/>
      <c r="GWY88" s="120"/>
      <c r="GWZ88" s="120"/>
      <c r="GXA88" s="120"/>
      <c r="GXB88" s="120"/>
      <c r="GXC88" s="120"/>
      <c r="GXD88" s="120"/>
      <c r="GXE88" s="120"/>
      <c r="GXF88" s="120"/>
      <c r="GXG88" s="120"/>
      <c r="GXH88" s="120"/>
      <c r="GXI88" s="120"/>
      <c r="GXJ88" s="120"/>
      <c r="GXK88" s="120"/>
      <c r="GXL88" s="120"/>
      <c r="GXM88" s="120"/>
      <c r="GXN88" s="120"/>
      <c r="GXO88" s="120"/>
      <c r="GXP88" s="120"/>
      <c r="GXQ88" s="120"/>
      <c r="GXR88" s="120"/>
      <c r="GXS88" s="120"/>
      <c r="GXT88" s="120"/>
      <c r="GXU88" s="120"/>
      <c r="GXV88" s="120"/>
      <c r="GXW88" s="120"/>
      <c r="GXX88" s="120"/>
      <c r="GXY88" s="120"/>
      <c r="GXZ88" s="120"/>
      <c r="GYA88" s="120"/>
      <c r="GYB88" s="120"/>
      <c r="GYC88" s="120"/>
      <c r="GYD88" s="120"/>
      <c r="GYE88" s="120"/>
      <c r="GYF88" s="120"/>
      <c r="GYG88" s="120"/>
      <c r="GYH88" s="120"/>
      <c r="GYI88" s="120"/>
      <c r="GYJ88" s="120"/>
      <c r="GYK88" s="120"/>
      <c r="GYL88" s="120"/>
      <c r="GYM88" s="120"/>
      <c r="GYN88" s="120"/>
      <c r="GYO88" s="120"/>
      <c r="GYP88" s="120"/>
      <c r="GYQ88" s="120"/>
      <c r="GYR88" s="120"/>
      <c r="GYS88" s="120"/>
      <c r="GYT88" s="120"/>
      <c r="GYU88" s="120"/>
      <c r="GYV88" s="120"/>
      <c r="GYW88" s="120"/>
      <c r="GYX88" s="120"/>
      <c r="GYY88" s="120"/>
      <c r="GYZ88" s="120"/>
      <c r="GZA88" s="120"/>
      <c r="GZB88" s="120"/>
      <c r="GZC88" s="120"/>
      <c r="GZD88" s="120"/>
      <c r="GZE88" s="120"/>
      <c r="GZF88" s="120"/>
      <c r="GZG88" s="120"/>
      <c r="GZH88" s="120"/>
      <c r="GZI88" s="120"/>
      <c r="GZJ88" s="120"/>
      <c r="GZK88" s="120"/>
      <c r="GZL88" s="120"/>
      <c r="GZM88" s="120"/>
      <c r="GZN88" s="120"/>
      <c r="GZO88" s="120"/>
      <c r="GZP88" s="120"/>
      <c r="GZQ88" s="120"/>
      <c r="GZR88" s="120"/>
      <c r="GZS88" s="120"/>
      <c r="GZT88" s="120"/>
      <c r="GZU88" s="120"/>
      <c r="GZV88" s="120"/>
      <c r="GZW88" s="120"/>
      <c r="GZX88" s="120"/>
      <c r="GZY88" s="120"/>
      <c r="GZZ88" s="120"/>
      <c r="HAA88" s="120"/>
      <c r="HAB88" s="120"/>
      <c r="HAC88" s="120"/>
      <c r="HAD88" s="120"/>
      <c r="HAE88" s="120"/>
      <c r="HAF88" s="120"/>
      <c r="HAG88" s="120"/>
      <c r="HAH88" s="120"/>
      <c r="HAI88" s="120"/>
      <c r="HAJ88" s="120"/>
      <c r="HAK88" s="120"/>
      <c r="HAL88" s="120"/>
      <c r="HAM88" s="120"/>
      <c r="HAN88" s="120"/>
      <c r="HAO88" s="120"/>
      <c r="HAP88" s="120"/>
      <c r="HAQ88" s="120"/>
      <c r="HAR88" s="120"/>
      <c r="HAS88" s="120"/>
      <c r="HAT88" s="120"/>
      <c r="HAU88" s="120"/>
      <c r="HAV88" s="120"/>
      <c r="HAW88" s="120"/>
      <c r="HAX88" s="120"/>
      <c r="HAY88" s="120"/>
      <c r="HAZ88" s="120"/>
      <c r="HBA88" s="120"/>
      <c r="HBB88" s="120"/>
      <c r="HBC88" s="120"/>
      <c r="HBD88" s="120"/>
      <c r="HBE88" s="120"/>
      <c r="HBF88" s="120"/>
      <c r="HBG88" s="120"/>
      <c r="HBH88" s="120"/>
      <c r="HBI88" s="120"/>
      <c r="HBJ88" s="120"/>
      <c r="HBK88" s="120"/>
      <c r="HBL88" s="120"/>
      <c r="HBM88" s="120"/>
      <c r="HBN88" s="120"/>
      <c r="HBO88" s="120"/>
      <c r="HBP88" s="120"/>
      <c r="HBQ88" s="120"/>
      <c r="HBR88" s="120"/>
      <c r="HBS88" s="120"/>
      <c r="HBT88" s="120"/>
      <c r="HBU88" s="120"/>
      <c r="HBV88" s="120"/>
      <c r="HBW88" s="120"/>
      <c r="HBX88" s="120"/>
      <c r="HBY88" s="120"/>
      <c r="HBZ88" s="120"/>
      <c r="HCA88" s="120"/>
      <c r="HCB88" s="120"/>
      <c r="HCC88" s="120"/>
      <c r="HCD88" s="120"/>
      <c r="HCE88" s="120"/>
      <c r="HCF88" s="120"/>
      <c r="HCG88" s="120"/>
      <c r="HCH88" s="120"/>
      <c r="HCI88" s="120"/>
      <c r="HCJ88" s="120"/>
      <c r="HCK88" s="120"/>
      <c r="HCL88" s="120"/>
      <c r="HCM88" s="120"/>
      <c r="HCN88" s="120"/>
      <c r="HCO88" s="120"/>
      <c r="HCP88" s="120"/>
      <c r="HCQ88" s="120"/>
      <c r="HCR88" s="120"/>
      <c r="HCS88" s="120"/>
      <c r="HCT88" s="120"/>
      <c r="HCU88" s="120"/>
      <c r="HCV88" s="120"/>
      <c r="HCW88" s="120"/>
      <c r="HCX88" s="120"/>
      <c r="HCY88" s="120"/>
      <c r="HCZ88" s="120"/>
      <c r="HDA88" s="120"/>
      <c r="HDB88" s="120"/>
      <c r="HDC88" s="120"/>
      <c r="HDD88" s="120"/>
      <c r="HDE88" s="120"/>
      <c r="HDF88" s="120"/>
      <c r="HDG88" s="120"/>
      <c r="HDH88" s="120"/>
      <c r="HDI88" s="120"/>
      <c r="HDJ88" s="120"/>
      <c r="HDK88" s="120"/>
      <c r="HDL88" s="120"/>
      <c r="HDM88" s="120"/>
      <c r="HDN88" s="120"/>
      <c r="HDO88" s="120"/>
      <c r="HDP88" s="120"/>
      <c r="HDQ88" s="120"/>
      <c r="HDR88" s="120"/>
      <c r="HDS88" s="120"/>
      <c r="HDT88" s="120"/>
      <c r="HDU88" s="120"/>
      <c r="HDV88" s="120"/>
      <c r="HDW88" s="120"/>
      <c r="HDX88" s="120"/>
      <c r="HDY88" s="120"/>
      <c r="HDZ88" s="120"/>
      <c r="HEA88" s="120"/>
      <c r="HEB88" s="120"/>
      <c r="HEC88" s="120"/>
      <c r="HED88" s="120"/>
      <c r="HEE88" s="120"/>
      <c r="HEF88" s="120"/>
      <c r="HEG88" s="120"/>
      <c r="HEH88" s="120"/>
      <c r="HEI88" s="120"/>
      <c r="HEJ88" s="120"/>
      <c r="HEK88" s="120"/>
      <c r="HEL88" s="120"/>
      <c r="HEM88" s="120"/>
      <c r="HEN88" s="120"/>
      <c r="HEO88" s="120"/>
      <c r="HEP88" s="120"/>
      <c r="HEQ88" s="120"/>
      <c r="HER88" s="120"/>
      <c r="HES88" s="120"/>
      <c r="HET88" s="120"/>
      <c r="HEU88" s="120"/>
      <c r="HEV88" s="120"/>
      <c r="HEW88" s="120"/>
      <c r="HEX88" s="120"/>
      <c r="HEY88" s="120"/>
      <c r="HEZ88" s="120"/>
      <c r="HFA88" s="120"/>
      <c r="HFB88" s="120"/>
      <c r="HFC88" s="120"/>
      <c r="HFD88" s="120"/>
      <c r="HFE88" s="120"/>
      <c r="HFF88" s="120"/>
      <c r="HFG88" s="120"/>
      <c r="HFH88" s="120"/>
      <c r="HFI88" s="120"/>
      <c r="HFJ88" s="120"/>
      <c r="HFK88" s="120"/>
      <c r="HFL88" s="120"/>
      <c r="HFM88" s="120"/>
      <c r="HFN88" s="120"/>
      <c r="HFO88" s="120"/>
      <c r="HFP88" s="120"/>
      <c r="HFQ88" s="120"/>
      <c r="HFR88" s="120"/>
      <c r="HFS88" s="120"/>
      <c r="HFT88" s="120"/>
      <c r="HFU88" s="120"/>
      <c r="HFV88" s="120"/>
      <c r="HFW88" s="120"/>
      <c r="HFX88" s="120"/>
      <c r="HFY88" s="120"/>
      <c r="HFZ88" s="120"/>
      <c r="HGA88" s="120"/>
      <c r="HGB88" s="120"/>
      <c r="HGC88" s="120"/>
      <c r="HGD88" s="120"/>
      <c r="HGE88" s="120"/>
      <c r="HGF88" s="120"/>
      <c r="HGG88" s="120"/>
      <c r="HGH88" s="120"/>
      <c r="HGI88" s="120"/>
      <c r="HGJ88" s="120"/>
      <c r="HGK88" s="120"/>
      <c r="HGL88" s="120"/>
      <c r="HGM88" s="120"/>
      <c r="HGN88" s="120"/>
      <c r="HGO88" s="120"/>
      <c r="HGP88" s="120"/>
      <c r="HGQ88" s="120"/>
      <c r="HGR88" s="120"/>
      <c r="HGS88" s="120"/>
      <c r="HGT88" s="120"/>
      <c r="HGU88" s="120"/>
      <c r="HGV88" s="120"/>
      <c r="HGW88" s="120"/>
      <c r="HGX88" s="120"/>
      <c r="HGY88" s="120"/>
      <c r="HGZ88" s="120"/>
      <c r="HHA88" s="120"/>
      <c r="HHB88" s="120"/>
      <c r="HHC88" s="120"/>
      <c r="HHD88" s="120"/>
      <c r="HHE88" s="120"/>
      <c r="HHF88" s="120"/>
      <c r="HHG88" s="120"/>
      <c r="HHH88" s="120"/>
      <c r="HHI88" s="120"/>
      <c r="HHJ88" s="120"/>
      <c r="HHK88" s="120"/>
      <c r="HHL88" s="120"/>
      <c r="HHM88" s="120"/>
      <c r="HHN88" s="120"/>
      <c r="HHO88" s="120"/>
      <c r="HHP88" s="120"/>
      <c r="HHQ88" s="120"/>
      <c r="HHR88" s="120"/>
      <c r="HHS88" s="120"/>
      <c r="HHT88" s="120"/>
      <c r="HHU88" s="120"/>
      <c r="HHV88" s="120"/>
      <c r="HHW88" s="120"/>
      <c r="HHX88" s="120"/>
      <c r="HHY88" s="120"/>
      <c r="HHZ88" s="120"/>
      <c r="HIA88" s="120"/>
      <c r="HIB88" s="120"/>
      <c r="HIC88" s="120"/>
      <c r="HID88" s="120"/>
      <c r="HIE88" s="120"/>
      <c r="HIF88" s="120"/>
      <c r="HIG88" s="120"/>
      <c r="HIH88" s="120"/>
      <c r="HII88" s="120"/>
      <c r="HIJ88" s="120"/>
      <c r="HIK88" s="120"/>
      <c r="HIL88" s="120"/>
      <c r="HIM88" s="120"/>
      <c r="HIN88" s="120"/>
      <c r="HIO88" s="120"/>
      <c r="HIP88" s="120"/>
      <c r="HIQ88" s="120"/>
      <c r="HIR88" s="120"/>
      <c r="HIS88" s="120"/>
      <c r="HIT88" s="120"/>
      <c r="HIU88" s="120"/>
      <c r="HIV88" s="120"/>
      <c r="HIW88" s="120"/>
      <c r="HIX88" s="120"/>
      <c r="HIY88" s="120"/>
      <c r="HIZ88" s="120"/>
      <c r="HJA88" s="120"/>
      <c r="HJB88" s="120"/>
      <c r="HJC88" s="120"/>
      <c r="HJD88" s="120"/>
      <c r="HJE88" s="120"/>
      <c r="HJF88" s="120"/>
      <c r="HJG88" s="120"/>
      <c r="HJH88" s="120"/>
      <c r="HJI88" s="120"/>
      <c r="HJJ88" s="120"/>
      <c r="HJK88" s="120"/>
      <c r="HJL88" s="120"/>
      <c r="HJM88" s="120"/>
      <c r="HJN88" s="120"/>
      <c r="HJO88" s="120"/>
      <c r="HJP88" s="120"/>
      <c r="HJQ88" s="120"/>
      <c r="HJR88" s="120"/>
      <c r="HJS88" s="120"/>
      <c r="HJT88" s="120"/>
      <c r="HJU88" s="120"/>
      <c r="HJV88" s="120"/>
      <c r="HJW88" s="120"/>
      <c r="HJX88" s="120"/>
      <c r="HJY88" s="120"/>
      <c r="HJZ88" s="120"/>
      <c r="HKA88" s="120"/>
      <c r="HKB88" s="120"/>
      <c r="HKC88" s="120"/>
      <c r="HKD88" s="120"/>
      <c r="HKE88" s="120"/>
      <c r="HKF88" s="120"/>
      <c r="HKG88" s="120"/>
      <c r="HKH88" s="120"/>
      <c r="HKI88" s="120"/>
      <c r="HKJ88" s="120"/>
      <c r="HKK88" s="120"/>
      <c r="HKL88" s="120"/>
      <c r="HKM88" s="120"/>
      <c r="HKN88" s="120"/>
      <c r="HKO88" s="120"/>
      <c r="HKP88" s="120"/>
      <c r="HKQ88" s="120"/>
      <c r="HKR88" s="120"/>
      <c r="HKS88" s="120"/>
      <c r="HKT88" s="120"/>
      <c r="HKU88" s="120"/>
      <c r="HKV88" s="120"/>
      <c r="HKW88" s="120"/>
      <c r="HKX88" s="120"/>
      <c r="HKY88" s="120"/>
      <c r="HKZ88" s="120"/>
      <c r="HLA88" s="120"/>
      <c r="HLB88" s="120"/>
      <c r="HLC88" s="120"/>
      <c r="HLD88" s="120"/>
      <c r="HLE88" s="120"/>
      <c r="HLF88" s="120"/>
      <c r="HLG88" s="120"/>
      <c r="HLH88" s="120"/>
      <c r="HLI88" s="120"/>
      <c r="HLJ88" s="120"/>
      <c r="HLK88" s="120"/>
      <c r="HLL88" s="120"/>
      <c r="HLM88" s="120"/>
      <c r="HLN88" s="120"/>
      <c r="HLO88" s="120"/>
      <c r="HLP88" s="120"/>
      <c r="HLQ88" s="120"/>
      <c r="HLR88" s="120"/>
      <c r="HLS88" s="120"/>
      <c r="HLT88" s="120"/>
      <c r="HLU88" s="120"/>
      <c r="HLV88" s="120"/>
      <c r="HLW88" s="120"/>
      <c r="HLX88" s="120"/>
      <c r="HLY88" s="120"/>
      <c r="HLZ88" s="120"/>
      <c r="HMA88" s="120"/>
      <c r="HMB88" s="120"/>
      <c r="HMC88" s="120"/>
      <c r="HMD88" s="120"/>
      <c r="HME88" s="120"/>
      <c r="HMF88" s="120"/>
      <c r="HMG88" s="120"/>
      <c r="HMH88" s="120"/>
      <c r="HMI88" s="120"/>
      <c r="HMJ88" s="120"/>
      <c r="HMK88" s="120"/>
      <c r="HML88" s="120"/>
      <c r="HMM88" s="120"/>
      <c r="HMN88" s="120"/>
      <c r="HMO88" s="120"/>
      <c r="HMP88" s="120"/>
      <c r="HMQ88" s="120"/>
      <c r="HMR88" s="120"/>
      <c r="HMS88" s="120"/>
      <c r="HMT88" s="120"/>
      <c r="HMU88" s="120"/>
      <c r="HMV88" s="120"/>
      <c r="HMW88" s="120"/>
      <c r="HMX88" s="120"/>
      <c r="HMY88" s="120"/>
      <c r="HMZ88" s="120"/>
      <c r="HNA88" s="120"/>
      <c r="HNB88" s="120"/>
      <c r="HNC88" s="120"/>
      <c r="HND88" s="120"/>
      <c r="HNE88" s="120"/>
      <c r="HNF88" s="120"/>
      <c r="HNG88" s="120"/>
      <c r="HNH88" s="120"/>
      <c r="HNI88" s="120"/>
      <c r="HNJ88" s="120"/>
      <c r="HNK88" s="120"/>
      <c r="HNL88" s="120"/>
      <c r="HNM88" s="120"/>
      <c r="HNN88" s="120"/>
      <c r="HNO88" s="120"/>
      <c r="HNP88" s="120"/>
      <c r="HNQ88" s="120"/>
      <c r="HNR88" s="120"/>
      <c r="HNS88" s="120"/>
      <c r="HNT88" s="120"/>
      <c r="HNU88" s="120"/>
      <c r="HNV88" s="120"/>
      <c r="HNW88" s="120"/>
      <c r="HNX88" s="120"/>
      <c r="HNY88" s="120"/>
      <c r="HNZ88" s="120"/>
      <c r="HOA88" s="120"/>
      <c r="HOB88" s="120"/>
      <c r="HOC88" s="120"/>
      <c r="HOD88" s="120"/>
      <c r="HOE88" s="120"/>
      <c r="HOF88" s="120"/>
      <c r="HOG88" s="120"/>
      <c r="HOH88" s="120"/>
      <c r="HOI88" s="120"/>
      <c r="HOJ88" s="120"/>
      <c r="HOK88" s="120"/>
      <c r="HOL88" s="120"/>
      <c r="HOM88" s="120"/>
      <c r="HON88" s="120"/>
      <c r="HOO88" s="120"/>
      <c r="HOP88" s="120"/>
      <c r="HOQ88" s="120"/>
      <c r="HOR88" s="120"/>
      <c r="HOS88" s="120"/>
      <c r="HOT88" s="120"/>
      <c r="HOU88" s="120"/>
      <c r="HOV88" s="120"/>
      <c r="HOW88" s="120"/>
      <c r="HOX88" s="120"/>
      <c r="HOY88" s="120"/>
      <c r="HOZ88" s="120"/>
      <c r="HPA88" s="120"/>
      <c r="HPB88" s="120"/>
      <c r="HPC88" s="120"/>
      <c r="HPD88" s="120"/>
      <c r="HPE88" s="120"/>
      <c r="HPF88" s="120"/>
      <c r="HPG88" s="120"/>
      <c r="HPH88" s="120"/>
      <c r="HPI88" s="120"/>
      <c r="HPJ88" s="120"/>
      <c r="HPK88" s="120"/>
      <c r="HPL88" s="120"/>
      <c r="HPM88" s="120"/>
      <c r="HPN88" s="120"/>
      <c r="HPO88" s="120"/>
      <c r="HPP88" s="120"/>
      <c r="HPQ88" s="120"/>
      <c r="HPR88" s="120"/>
      <c r="HPS88" s="120"/>
      <c r="HPT88" s="120"/>
      <c r="HPU88" s="120"/>
      <c r="HPV88" s="120"/>
      <c r="HPW88" s="120"/>
      <c r="HPX88" s="120"/>
      <c r="HPY88" s="120"/>
      <c r="HPZ88" s="120"/>
      <c r="HQA88" s="120"/>
      <c r="HQB88" s="120"/>
      <c r="HQC88" s="120"/>
      <c r="HQD88" s="120"/>
      <c r="HQE88" s="120"/>
      <c r="HQF88" s="120"/>
      <c r="HQG88" s="120"/>
      <c r="HQH88" s="120"/>
      <c r="HQI88" s="120"/>
      <c r="HQJ88" s="120"/>
      <c r="HQK88" s="120"/>
      <c r="HQL88" s="120"/>
      <c r="HQM88" s="120"/>
      <c r="HQN88" s="120"/>
      <c r="HQO88" s="120"/>
      <c r="HQP88" s="120"/>
      <c r="HQQ88" s="120"/>
      <c r="HQR88" s="120"/>
      <c r="HQS88" s="120"/>
      <c r="HQT88" s="120"/>
      <c r="HQU88" s="120"/>
      <c r="HQV88" s="120"/>
      <c r="HQW88" s="120"/>
      <c r="HQX88" s="120"/>
      <c r="HQY88" s="120"/>
      <c r="HQZ88" s="120"/>
      <c r="HRA88" s="120"/>
      <c r="HRB88" s="120"/>
      <c r="HRC88" s="120"/>
      <c r="HRD88" s="120"/>
      <c r="HRE88" s="120"/>
      <c r="HRF88" s="120"/>
      <c r="HRG88" s="120"/>
      <c r="HRH88" s="120"/>
      <c r="HRI88" s="120"/>
      <c r="HRJ88" s="120"/>
      <c r="HRK88" s="120"/>
      <c r="HRL88" s="120"/>
      <c r="HRM88" s="120"/>
      <c r="HRN88" s="120"/>
      <c r="HRO88" s="120"/>
      <c r="HRP88" s="120"/>
      <c r="HRQ88" s="120"/>
      <c r="HRR88" s="120"/>
      <c r="HRS88" s="120"/>
      <c r="HRT88" s="120"/>
      <c r="HRU88" s="120"/>
      <c r="HRV88" s="120"/>
      <c r="HRW88" s="120"/>
      <c r="HRX88" s="120"/>
      <c r="HRY88" s="120"/>
      <c r="HRZ88" s="120"/>
      <c r="HSA88" s="120"/>
      <c r="HSB88" s="120"/>
      <c r="HSC88" s="120"/>
      <c r="HSD88" s="120"/>
      <c r="HSE88" s="120"/>
      <c r="HSF88" s="120"/>
      <c r="HSG88" s="120"/>
      <c r="HSH88" s="120"/>
      <c r="HSI88" s="120"/>
      <c r="HSJ88" s="120"/>
      <c r="HSK88" s="120"/>
      <c r="HSL88" s="120"/>
      <c r="HSM88" s="120"/>
      <c r="HSN88" s="120"/>
      <c r="HSO88" s="120"/>
      <c r="HSP88" s="120"/>
      <c r="HSQ88" s="120"/>
      <c r="HSR88" s="120"/>
      <c r="HSS88" s="120"/>
      <c r="HST88" s="120"/>
      <c r="HSU88" s="120"/>
      <c r="HSV88" s="120"/>
      <c r="HSW88" s="120"/>
      <c r="HSX88" s="120"/>
      <c r="HSY88" s="120"/>
      <c r="HSZ88" s="120"/>
      <c r="HTA88" s="120"/>
      <c r="HTB88" s="120"/>
      <c r="HTC88" s="120"/>
      <c r="HTD88" s="120"/>
      <c r="HTE88" s="120"/>
      <c r="HTF88" s="120"/>
      <c r="HTG88" s="120"/>
      <c r="HTH88" s="120"/>
      <c r="HTI88" s="120"/>
      <c r="HTJ88" s="120"/>
      <c r="HTK88" s="120"/>
      <c r="HTL88" s="120"/>
      <c r="HTM88" s="120"/>
      <c r="HTN88" s="120"/>
      <c r="HTO88" s="120"/>
      <c r="HTP88" s="120"/>
      <c r="HTQ88" s="120"/>
      <c r="HTR88" s="120"/>
      <c r="HTS88" s="120"/>
      <c r="HTT88" s="120"/>
      <c r="HTU88" s="120"/>
      <c r="HTV88" s="120"/>
      <c r="HTW88" s="120"/>
      <c r="HTX88" s="120"/>
      <c r="HTY88" s="120"/>
      <c r="HTZ88" s="120"/>
      <c r="HUA88" s="120"/>
      <c r="HUB88" s="120"/>
      <c r="HUC88" s="120"/>
      <c r="HUD88" s="120"/>
      <c r="HUE88" s="120"/>
      <c r="HUF88" s="120"/>
      <c r="HUG88" s="120"/>
      <c r="HUH88" s="120"/>
      <c r="HUI88" s="120"/>
      <c r="HUJ88" s="120"/>
      <c r="HUK88" s="120"/>
      <c r="HUL88" s="120"/>
      <c r="HUM88" s="120"/>
      <c r="HUN88" s="120"/>
      <c r="HUO88" s="120"/>
      <c r="HUP88" s="120"/>
      <c r="HUQ88" s="120"/>
      <c r="HUR88" s="120"/>
      <c r="HUS88" s="120"/>
      <c r="HUT88" s="120"/>
      <c r="HUU88" s="120"/>
      <c r="HUV88" s="120"/>
      <c r="HUW88" s="120"/>
      <c r="HUX88" s="120"/>
      <c r="HUY88" s="120"/>
      <c r="HUZ88" s="120"/>
      <c r="HVA88" s="120"/>
      <c r="HVB88" s="120"/>
      <c r="HVC88" s="120"/>
      <c r="HVD88" s="120"/>
      <c r="HVE88" s="120"/>
      <c r="HVF88" s="120"/>
      <c r="HVG88" s="120"/>
      <c r="HVH88" s="120"/>
      <c r="HVI88" s="120"/>
      <c r="HVJ88" s="120"/>
      <c r="HVK88" s="120"/>
      <c r="HVL88" s="120"/>
      <c r="HVM88" s="120"/>
      <c r="HVN88" s="120"/>
      <c r="HVO88" s="120"/>
      <c r="HVP88" s="120"/>
      <c r="HVQ88" s="120"/>
      <c r="HVR88" s="120"/>
      <c r="HVS88" s="120"/>
      <c r="HVT88" s="120"/>
      <c r="HVU88" s="120"/>
      <c r="HVV88" s="120"/>
      <c r="HVW88" s="120"/>
      <c r="HVX88" s="120"/>
      <c r="HVY88" s="120"/>
      <c r="HVZ88" s="120"/>
      <c r="HWA88" s="120"/>
      <c r="HWB88" s="120"/>
      <c r="HWC88" s="120"/>
      <c r="HWD88" s="120"/>
      <c r="HWE88" s="120"/>
      <c r="HWF88" s="120"/>
      <c r="HWG88" s="120"/>
      <c r="HWH88" s="120"/>
      <c r="HWI88" s="120"/>
      <c r="HWJ88" s="120"/>
      <c r="HWK88" s="120"/>
      <c r="HWL88" s="120"/>
      <c r="HWM88" s="120"/>
      <c r="HWN88" s="120"/>
      <c r="HWO88" s="120"/>
      <c r="HWP88" s="120"/>
      <c r="HWQ88" s="120"/>
      <c r="HWR88" s="120"/>
      <c r="HWS88" s="120"/>
      <c r="HWT88" s="120"/>
      <c r="HWU88" s="120"/>
      <c r="HWV88" s="120"/>
      <c r="HWW88" s="120"/>
      <c r="HWX88" s="120"/>
      <c r="HWY88" s="120"/>
      <c r="HWZ88" s="120"/>
      <c r="HXA88" s="120"/>
      <c r="HXB88" s="120"/>
      <c r="HXC88" s="120"/>
      <c r="HXD88" s="120"/>
      <c r="HXE88" s="120"/>
      <c r="HXF88" s="120"/>
      <c r="HXG88" s="120"/>
      <c r="HXH88" s="120"/>
      <c r="HXI88" s="120"/>
      <c r="HXJ88" s="120"/>
      <c r="HXK88" s="120"/>
      <c r="HXL88" s="120"/>
      <c r="HXM88" s="120"/>
      <c r="HXN88" s="120"/>
      <c r="HXO88" s="120"/>
      <c r="HXP88" s="120"/>
      <c r="HXQ88" s="120"/>
      <c r="HXR88" s="120"/>
      <c r="HXS88" s="120"/>
      <c r="HXT88" s="120"/>
      <c r="HXU88" s="120"/>
      <c r="HXV88" s="120"/>
      <c r="HXW88" s="120"/>
      <c r="HXX88" s="120"/>
      <c r="HXY88" s="120"/>
      <c r="HXZ88" s="120"/>
      <c r="HYA88" s="120"/>
      <c r="HYB88" s="120"/>
      <c r="HYC88" s="120"/>
      <c r="HYD88" s="120"/>
      <c r="HYE88" s="120"/>
      <c r="HYF88" s="120"/>
      <c r="HYG88" s="120"/>
      <c r="HYH88" s="120"/>
      <c r="HYI88" s="120"/>
      <c r="HYJ88" s="120"/>
      <c r="HYK88" s="120"/>
      <c r="HYL88" s="120"/>
      <c r="HYM88" s="120"/>
      <c r="HYN88" s="120"/>
      <c r="HYO88" s="120"/>
      <c r="HYP88" s="120"/>
      <c r="HYQ88" s="120"/>
      <c r="HYR88" s="120"/>
      <c r="HYS88" s="120"/>
      <c r="HYT88" s="120"/>
      <c r="HYU88" s="120"/>
      <c r="HYV88" s="120"/>
      <c r="HYW88" s="120"/>
      <c r="HYX88" s="120"/>
      <c r="HYY88" s="120"/>
      <c r="HYZ88" s="120"/>
      <c r="HZA88" s="120"/>
      <c r="HZB88" s="120"/>
      <c r="HZC88" s="120"/>
      <c r="HZD88" s="120"/>
      <c r="HZE88" s="120"/>
      <c r="HZF88" s="120"/>
      <c r="HZG88" s="120"/>
      <c r="HZH88" s="120"/>
      <c r="HZI88" s="120"/>
      <c r="HZJ88" s="120"/>
      <c r="HZK88" s="120"/>
      <c r="HZL88" s="120"/>
      <c r="HZM88" s="120"/>
      <c r="HZN88" s="120"/>
      <c r="HZO88" s="120"/>
      <c r="HZP88" s="120"/>
      <c r="HZQ88" s="120"/>
      <c r="HZR88" s="120"/>
      <c r="HZS88" s="120"/>
      <c r="HZT88" s="120"/>
      <c r="HZU88" s="120"/>
      <c r="HZV88" s="120"/>
      <c r="HZW88" s="120"/>
      <c r="HZX88" s="120"/>
      <c r="HZY88" s="120"/>
      <c r="HZZ88" s="120"/>
      <c r="IAA88" s="120"/>
      <c r="IAB88" s="120"/>
      <c r="IAC88" s="120"/>
      <c r="IAD88" s="120"/>
      <c r="IAE88" s="120"/>
      <c r="IAF88" s="120"/>
      <c r="IAG88" s="120"/>
      <c r="IAH88" s="120"/>
      <c r="IAI88" s="120"/>
      <c r="IAJ88" s="120"/>
      <c r="IAK88" s="120"/>
      <c r="IAL88" s="120"/>
      <c r="IAM88" s="120"/>
      <c r="IAN88" s="120"/>
      <c r="IAO88" s="120"/>
      <c r="IAP88" s="120"/>
      <c r="IAQ88" s="120"/>
      <c r="IAR88" s="120"/>
      <c r="IAS88" s="120"/>
      <c r="IAT88" s="120"/>
      <c r="IAU88" s="120"/>
      <c r="IAV88" s="120"/>
      <c r="IAW88" s="120"/>
      <c r="IAX88" s="120"/>
      <c r="IAY88" s="120"/>
      <c r="IAZ88" s="120"/>
      <c r="IBA88" s="120"/>
      <c r="IBB88" s="120"/>
      <c r="IBC88" s="120"/>
      <c r="IBD88" s="120"/>
      <c r="IBE88" s="120"/>
      <c r="IBF88" s="120"/>
      <c r="IBG88" s="120"/>
      <c r="IBH88" s="120"/>
      <c r="IBI88" s="120"/>
      <c r="IBJ88" s="120"/>
      <c r="IBK88" s="120"/>
      <c r="IBL88" s="120"/>
      <c r="IBM88" s="120"/>
      <c r="IBN88" s="120"/>
      <c r="IBO88" s="120"/>
      <c r="IBP88" s="120"/>
      <c r="IBQ88" s="120"/>
      <c r="IBR88" s="120"/>
      <c r="IBS88" s="120"/>
      <c r="IBT88" s="120"/>
      <c r="IBU88" s="120"/>
      <c r="IBV88" s="120"/>
      <c r="IBW88" s="120"/>
      <c r="IBX88" s="120"/>
      <c r="IBY88" s="120"/>
      <c r="IBZ88" s="120"/>
      <c r="ICA88" s="120"/>
      <c r="ICB88" s="120"/>
      <c r="ICC88" s="120"/>
      <c r="ICD88" s="120"/>
      <c r="ICE88" s="120"/>
      <c r="ICF88" s="120"/>
      <c r="ICG88" s="120"/>
      <c r="ICH88" s="120"/>
      <c r="ICI88" s="120"/>
      <c r="ICJ88" s="120"/>
      <c r="ICK88" s="120"/>
      <c r="ICL88" s="120"/>
      <c r="ICM88" s="120"/>
      <c r="ICN88" s="120"/>
      <c r="ICO88" s="120"/>
      <c r="ICP88" s="120"/>
      <c r="ICQ88" s="120"/>
      <c r="ICR88" s="120"/>
      <c r="ICS88" s="120"/>
      <c r="ICT88" s="120"/>
      <c r="ICU88" s="120"/>
      <c r="ICV88" s="120"/>
      <c r="ICW88" s="120"/>
      <c r="ICX88" s="120"/>
      <c r="ICY88" s="120"/>
      <c r="ICZ88" s="120"/>
      <c r="IDA88" s="120"/>
      <c r="IDB88" s="120"/>
      <c r="IDC88" s="120"/>
      <c r="IDD88" s="120"/>
      <c r="IDE88" s="120"/>
      <c r="IDF88" s="120"/>
      <c r="IDG88" s="120"/>
      <c r="IDH88" s="120"/>
      <c r="IDI88" s="120"/>
      <c r="IDJ88" s="120"/>
      <c r="IDK88" s="120"/>
      <c r="IDL88" s="120"/>
      <c r="IDM88" s="120"/>
      <c r="IDN88" s="120"/>
      <c r="IDO88" s="120"/>
      <c r="IDP88" s="120"/>
      <c r="IDQ88" s="120"/>
      <c r="IDR88" s="120"/>
      <c r="IDS88" s="120"/>
      <c r="IDT88" s="120"/>
      <c r="IDU88" s="120"/>
      <c r="IDV88" s="120"/>
      <c r="IDW88" s="120"/>
      <c r="IDX88" s="120"/>
      <c r="IDY88" s="120"/>
      <c r="IDZ88" s="120"/>
      <c r="IEA88" s="120"/>
      <c r="IEB88" s="120"/>
      <c r="IEC88" s="120"/>
      <c r="IED88" s="120"/>
      <c r="IEE88" s="120"/>
      <c r="IEF88" s="120"/>
      <c r="IEG88" s="120"/>
      <c r="IEH88" s="120"/>
      <c r="IEI88" s="120"/>
      <c r="IEJ88" s="120"/>
      <c r="IEK88" s="120"/>
      <c r="IEL88" s="120"/>
      <c r="IEM88" s="120"/>
      <c r="IEN88" s="120"/>
      <c r="IEO88" s="120"/>
      <c r="IEP88" s="120"/>
      <c r="IEQ88" s="120"/>
      <c r="IER88" s="120"/>
      <c r="IES88" s="120"/>
      <c r="IET88" s="120"/>
      <c r="IEU88" s="120"/>
      <c r="IEV88" s="120"/>
      <c r="IEW88" s="120"/>
      <c r="IEX88" s="120"/>
      <c r="IEY88" s="120"/>
      <c r="IEZ88" s="120"/>
      <c r="IFA88" s="120"/>
      <c r="IFB88" s="120"/>
      <c r="IFC88" s="120"/>
      <c r="IFD88" s="120"/>
      <c r="IFE88" s="120"/>
      <c r="IFF88" s="120"/>
      <c r="IFG88" s="120"/>
      <c r="IFH88" s="120"/>
      <c r="IFI88" s="120"/>
      <c r="IFJ88" s="120"/>
      <c r="IFK88" s="120"/>
      <c r="IFL88" s="120"/>
      <c r="IFM88" s="120"/>
      <c r="IFN88" s="120"/>
      <c r="IFO88" s="120"/>
      <c r="IFP88" s="120"/>
      <c r="IFQ88" s="120"/>
      <c r="IFR88" s="120"/>
      <c r="IFS88" s="120"/>
      <c r="IFT88" s="120"/>
      <c r="IFU88" s="120"/>
      <c r="IFV88" s="120"/>
      <c r="IFW88" s="120"/>
      <c r="IFX88" s="120"/>
      <c r="IFY88" s="120"/>
      <c r="IFZ88" s="120"/>
      <c r="IGA88" s="120"/>
      <c r="IGB88" s="120"/>
      <c r="IGC88" s="120"/>
      <c r="IGD88" s="120"/>
      <c r="IGE88" s="120"/>
      <c r="IGF88" s="120"/>
      <c r="IGG88" s="120"/>
      <c r="IGH88" s="120"/>
      <c r="IGI88" s="120"/>
      <c r="IGJ88" s="120"/>
      <c r="IGK88" s="120"/>
      <c r="IGL88" s="120"/>
      <c r="IGM88" s="120"/>
      <c r="IGN88" s="120"/>
      <c r="IGO88" s="120"/>
      <c r="IGP88" s="120"/>
      <c r="IGQ88" s="120"/>
      <c r="IGR88" s="120"/>
      <c r="IGS88" s="120"/>
      <c r="IGT88" s="120"/>
      <c r="IGU88" s="120"/>
      <c r="IGV88" s="120"/>
      <c r="IGW88" s="120"/>
      <c r="IGX88" s="120"/>
      <c r="IGY88" s="120"/>
      <c r="IGZ88" s="120"/>
      <c r="IHA88" s="120"/>
      <c r="IHB88" s="120"/>
      <c r="IHC88" s="120"/>
      <c r="IHD88" s="120"/>
      <c r="IHE88" s="120"/>
      <c r="IHF88" s="120"/>
      <c r="IHG88" s="120"/>
      <c r="IHH88" s="120"/>
      <c r="IHI88" s="120"/>
      <c r="IHJ88" s="120"/>
      <c r="IHK88" s="120"/>
      <c r="IHL88" s="120"/>
      <c r="IHM88" s="120"/>
      <c r="IHN88" s="120"/>
      <c r="IHO88" s="120"/>
      <c r="IHP88" s="120"/>
      <c r="IHQ88" s="120"/>
      <c r="IHR88" s="120"/>
      <c r="IHS88" s="120"/>
      <c r="IHT88" s="120"/>
      <c r="IHU88" s="120"/>
      <c r="IHV88" s="120"/>
      <c r="IHW88" s="120"/>
      <c r="IHX88" s="120"/>
      <c r="IHY88" s="120"/>
      <c r="IHZ88" s="120"/>
      <c r="IIA88" s="120"/>
      <c r="IIB88" s="120"/>
      <c r="IIC88" s="120"/>
      <c r="IID88" s="120"/>
      <c r="IIE88" s="120"/>
      <c r="IIF88" s="120"/>
      <c r="IIG88" s="120"/>
      <c r="IIH88" s="120"/>
      <c r="III88" s="120"/>
      <c r="IIJ88" s="120"/>
      <c r="IIK88" s="120"/>
      <c r="IIL88" s="120"/>
      <c r="IIM88" s="120"/>
      <c r="IIN88" s="120"/>
      <c r="IIO88" s="120"/>
      <c r="IIP88" s="120"/>
      <c r="IIQ88" s="120"/>
      <c r="IIR88" s="120"/>
      <c r="IIS88" s="120"/>
      <c r="IIT88" s="120"/>
      <c r="IIU88" s="120"/>
      <c r="IIV88" s="120"/>
      <c r="IIW88" s="120"/>
      <c r="IIX88" s="120"/>
      <c r="IIY88" s="120"/>
      <c r="IIZ88" s="120"/>
      <c r="IJA88" s="120"/>
      <c r="IJB88" s="120"/>
      <c r="IJC88" s="120"/>
      <c r="IJD88" s="120"/>
      <c r="IJE88" s="120"/>
      <c r="IJF88" s="120"/>
      <c r="IJG88" s="120"/>
      <c r="IJH88" s="120"/>
      <c r="IJI88" s="120"/>
      <c r="IJJ88" s="120"/>
      <c r="IJK88" s="120"/>
      <c r="IJL88" s="120"/>
      <c r="IJM88" s="120"/>
      <c r="IJN88" s="120"/>
      <c r="IJO88" s="120"/>
      <c r="IJP88" s="120"/>
      <c r="IJQ88" s="120"/>
      <c r="IJR88" s="120"/>
      <c r="IJS88" s="120"/>
      <c r="IJT88" s="120"/>
      <c r="IJU88" s="120"/>
      <c r="IJV88" s="120"/>
      <c r="IJW88" s="120"/>
      <c r="IJX88" s="120"/>
      <c r="IJY88" s="120"/>
      <c r="IJZ88" s="120"/>
      <c r="IKA88" s="120"/>
      <c r="IKB88" s="120"/>
      <c r="IKC88" s="120"/>
      <c r="IKD88" s="120"/>
      <c r="IKE88" s="120"/>
      <c r="IKF88" s="120"/>
      <c r="IKG88" s="120"/>
      <c r="IKH88" s="120"/>
      <c r="IKI88" s="120"/>
      <c r="IKJ88" s="120"/>
      <c r="IKK88" s="120"/>
      <c r="IKL88" s="120"/>
      <c r="IKM88" s="120"/>
      <c r="IKN88" s="120"/>
      <c r="IKO88" s="120"/>
      <c r="IKP88" s="120"/>
      <c r="IKQ88" s="120"/>
      <c r="IKR88" s="120"/>
      <c r="IKS88" s="120"/>
      <c r="IKT88" s="120"/>
      <c r="IKU88" s="120"/>
      <c r="IKV88" s="120"/>
      <c r="IKW88" s="120"/>
      <c r="IKX88" s="120"/>
      <c r="IKY88" s="120"/>
      <c r="IKZ88" s="120"/>
      <c r="ILA88" s="120"/>
      <c r="ILB88" s="120"/>
      <c r="ILC88" s="120"/>
      <c r="ILD88" s="120"/>
      <c r="ILE88" s="120"/>
      <c r="ILF88" s="120"/>
      <c r="ILG88" s="120"/>
      <c r="ILH88" s="120"/>
      <c r="ILI88" s="120"/>
      <c r="ILJ88" s="120"/>
      <c r="ILK88" s="120"/>
      <c r="ILL88" s="120"/>
      <c r="ILM88" s="120"/>
      <c r="ILN88" s="120"/>
      <c r="ILO88" s="120"/>
      <c r="ILP88" s="120"/>
      <c r="ILQ88" s="120"/>
      <c r="ILR88" s="120"/>
      <c r="ILS88" s="120"/>
      <c r="ILT88" s="120"/>
      <c r="ILU88" s="120"/>
      <c r="ILV88" s="120"/>
      <c r="ILW88" s="120"/>
      <c r="ILX88" s="120"/>
      <c r="ILY88" s="120"/>
      <c r="ILZ88" s="120"/>
      <c r="IMA88" s="120"/>
      <c r="IMB88" s="120"/>
      <c r="IMC88" s="120"/>
      <c r="IMD88" s="120"/>
      <c r="IME88" s="120"/>
      <c r="IMF88" s="120"/>
      <c r="IMG88" s="120"/>
      <c r="IMH88" s="120"/>
      <c r="IMI88" s="120"/>
      <c r="IMJ88" s="120"/>
      <c r="IMK88" s="120"/>
      <c r="IML88" s="120"/>
      <c r="IMM88" s="120"/>
      <c r="IMN88" s="120"/>
      <c r="IMO88" s="120"/>
      <c r="IMP88" s="120"/>
      <c r="IMQ88" s="120"/>
      <c r="IMR88" s="120"/>
      <c r="IMS88" s="120"/>
      <c r="IMT88" s="120"/>
      <c r="IMU88" s="120"/>
      <c r="IMV88" s="120"/>
      <c r="IMW88" s="120"/>
      <c r="IMX88" s="120"/>
      <c r="IMY88" s="120"/>
      <c r="IMZ88" s="120"/>
      <c r="INA88" s="120"/>
      <c r="INB88" s="120"/>
      <c r="INC88" s="120"/>
      <c r="IND88" s="120"/>
      <c r="INE88" s="120"/>
      <c r="INF88" s="120"/>
      <c r="ING88" s="120"/>
      <c r="INH88" s="120"/>
      <c r="INI88" s="120"/>
      <c r="INJ88" s="120"/>
      <c r="INK88" s="120"/>
      <c r="INL88" s="120"/>
      <c r="INM88" s="120"/>
      <c r="INN88" s="120"/>
      <c r="INO88" s="120"/>
      <c r="INP88" s="120"/>
      <c r="INQ88" s="120"/>
      <c r="INR88" s="120"/>
      <c r="INS88" s="120"/>
      <c r="INT88" s="120"/>
      <c r="INU88" s="120"/>
      <c r="INV88" s="120"/>
      <c r="INW88" s="120"/>
      <c r="INX88" s="120"/>
      <c r="INY88" s="120"/>
      <c r="INZ88" s="120"/>
      <c r="IOA88" s="120"/>
      <c r="IOB88" s="120"/>
      <c r="IOC88" s="120"/>
      <c r="IOD88" s="120"/>
      <c r="IOE88" s="120"/>
      <c r="IOF88" s="120"/>
      <c r="IOG88" s="120"/>
      <c r="IOH88" s="120"/>
      <c r="IOI88" s="120"/>
      <c r="IOJ88" s="120"/>
      <c r="IOK88" s="120"/>
      <c r="IOL88" s="120"/>
      <c r="IOM88" s="120"/>
      <c r="ION88" s="120"/>
      <c r="IOO88" s="120"/>
      <c r="IOP88" s="120"/>
      <c r="IOQ88" s="120"/>
      <c r="IOR88" s="120"/>
      <c r="IOS88" s="120"/>
      <c r="IOT88" s="120"/>
      <c r="IOU88" s="120"/>
      <c r="IOV88" s="120"/>
      <c r="IOW88" s="120"/>
      <c r="IOX88" s="120"/>
      <c r="IOY88" s="120"/>
      <c r="IOZ88" s="120"/>
      <c r="IPA88" s="120"/>
      <c r="IPB88" s="120"/>
      <c r="IPC88" s="120"/>
      <c r="IPD88" s="120"/>
      <c r="IPE88" s="120"/>
      <c r="IPF88" s="120"/>
      <c r="IPG88" s="120"/>
      <c r="IPH88" s="120"/>
      <c r="IPI88" s="120"/>
      <c r="IPJ88" s="120"/>
      <c r="IPK88" s="120"/>
      <c r="IPL88" s="120"/>
      <c r="IPM88" s="120"/>
      <c r="IPN88" s="120"/>
      <c r="IPO88" s="120"/>
      <c r="IPP88" s="120"/>
      <c r="IPQ88" s="120"/>
      <c r="IPR88" s="120"/>
      <c r="IPS88" s="120"/>
      <c r="IPT88" s="120"/>
      <c r="IPU88" s="120"/>
      <c r="IPV88" s="120"/>
      <c r="IPW88" s="120"/>
      <c r="IPX88" s="120"/>
      <c r="IPY88" s="120"/>
      <c r="IPZ88" s="120"/>
      <c r="IQA88" s="120"/>
      <c r="IQB88" s="120"/>
      <c r="IQC88" s="120"/>
      <c r="IQD88" s="120"/>
      <c r="IQE88" s="120"/>
      <c r="IQF88" s="120"/>
      <c r="IQG88" s="120"/>
      <c r="IQH88" s="120"/>
      <c r="IQI88" s="120"/>
      <c r="IQJ88" s="120"/>
      <c r="IQK88" s="120"/>
      <c r="IQL88" s="120"/>
      <c r="IQM88" s="120"/>
      <c r="IQN88" s="120"/>
      <c r="IQO88" s="120"/>
      <c r="IQP88" s="120"/>
      <c r="IQQ88" s="120"/>
      <c r="IQR88" s="120"/>
      <c r="IQS88" s="120"/>
      <c r="IQT88" s="120"/>
      <c r="IQU88" s="120"/>
      <c r="IQV88" s="120"/>
      <c r="IQW88" s="120"/>
      <c r="IQX88" s="120"/>
      <c r="IQY88" s="120"/>
      <c r="IQZ88" s="120"/>
      <c r="IRA88" s="120"/>
      <c r="IRB88" s="120"/>
      <c r="IRC88" s="120"/>
      <c r="IRD88" s="120"/>
      <c r="IRE88" s="120"/>
      <c r="IRF88" s="120"/>
      <c r="IRG88" s="120"/>
      <c r="IRH88" s="120"/>
      <c r="IRI88" s="120"/>
      <c r="IRJ88" s="120"/>
      <c r="IRK88" s="120"/>
      <c r="IRL88" s="120"/>
      <c r="IRM88" s="120"/>
      <c r="IRN88" s="120"/>
      <c r="IRO88" s="120"/>
      <c r="IRP88" s="120"/>
      <c r="IRQ88" s="120"/>
      <c r="IRR88" s="120"/>
      <c r="IRS88" s="120"/>
      <c r="IRT88" s="120"/>
      <c r="IRU88" s="120"/>
      <c r="IRV88" s="120"/>
      <c r="IRW88" s="120"/>
      <c r="IRX88" s="120"/>
      <c r="IRY88" s="120"/>
      <c r="IRZ88" s="120"/>
      <c r="ISA88" s="120"/>
      <c r="ISB88" s="120"/>
      <c r="ISC88" s="120"/>
      <c r="ISD88" s="120"/>
      <c r="ISE88" s="120"/>
      <c r="ISF88" s="120"/>
      <c r="ISG88" s="120"/>
      <c r="ISH88" s="120"/>
      <c r="ISI88" s="120"/>
      <c r="ISJ88" s="120"/>
      <c r="ISK88" s="120"/>
      <c r="ISL88" s="120"/>
      <c r="ISM88" s="120"/>
      <c r="ISN88" s="120"/>
      <c r="ISO88" s="120"/>
      <c r="ISP88" s="120"/>
      <c r="ISQ88" s="120"/>
      <c r="ISR88" s="120"/>
      <c r="ISS88" s="120"/>
      <c r="IST88" s="120"/>
      <c r="ISU88" s="120"/>
      <c r="ISV88" s="120"/>
      <c r="ISW88" s="120"/>
      <c r="ISX88" s="120"/>
      <c r="ISY88" s="120"/>
      <c r="ISZ88" s="120"/>
      <c r="ITA88" s="120"/>
      <c r="ITB88" s="120"/>
      <c r="ITC88" s="120"/>
      <c r="ITD88" s="120"/>
      <c r="ITE88" s="120"/>
      <c r="ITF88" s="120"/>
      <c r="ITG88" s="120"/>
      <c r="ITH88" s="120"/>
      <c r="ITI88" s="120"/>
      <c r="ITJ88" s="120"/>
      <c r="ITK88" s="120"/>
      <c r="ITL88" s="120"/>
      <c r="ITM88" s="120"/>
      <c r="ITN88" s="120"/>
      <c r="ITO88" s="120"/>
      <c r="ITP88" s="120"/>
      <c r="ITQ88" s="120"/>
      <c r="ITR88" s="120"/>
      <c r="ITS88" s="120"/>
      <c r="ITT88" s="120"/>
      <c r="ITU88" s="120"/>
      <c r="ITV88" s="120"/>
      <c r="ITW88" s="120"/>
      <c r="ITX88" s="120"/>
      <c r="ITY88" s="120"/>
      <c r="ITZ88" s="120"/>
      <c r="IUA88" s="120"/>
      <c r="IUB88" s="120"/>
      <c r="IUC88" s="120"/>
      <c r="IUD88" s="120"/>
      <c r="IUE88" s="120"/>
      <c r="IUF88" s="120"/>
      <c r="IUG88" s="120"/>
      <c r="IUH88" s="120"/>
      <c r="IUI88" s="120"/>
      <c r="IUJ88" s="120"/>
      <c r="IUK88" s="120"/>
      <c r="IUL88" s="120"/>
      <c r="IUM88" s="120"/>
      <c r="IUN88" s="120"/>
      <c r="IUO88" s="120"/>
      <c r="IUP88" s="120"/>
      <c r="IUQ88" s="120"/>
      <c r="IUR88" s="120"/>
      <c r="IUS88" s="120"/>
      <c r="IUT88" s="120"/>
      <c r="IUU88" s="120"/>
      <c r="IUV88" s="120"/>
      <c r="IUW88" s="120"/>
      <c r="IUX88" s="120"/>
      <c r="IUY88" s="120"/>
      <c r="IUZ88" s="120"/>
      <c r="IVA88" s="120"/>
      <c r="IVB88" s="120"/>
      <c r="IVC88" s="120"/>
      <c r="IVD88" s="120"/>
      <c r="IVE88" s="120"/>
      <c r="IVF88" s="120"/>
      <c r="IVG88" s="120"/>
      <c r="IVH88" s="120"/>
      <c r="IVI88" s="120"/>
      <c r="IVJ88" s="120"/>
      <c r="IVK88" s="120"/>
      <c r="IVL88" s="120"/>
      <c r="IVM88" s="120"/>
      <c r="IVN88" s="120"/>
      <c r="IVO88" s="120"/>
      <c r="IVP88" s="120"/>
      <c r="IVQ88" s="120"/>
      <c r="IVR88" s="120"/>
      <c r="IVS88" s="120"/>
      <c r="IVT88" s="120"/>
      <c r="IVU88" s="120"/>
      <c r="IVV88" s="120"/>
      <c r="IVW88" s="120"/>
      <c r="IVX88" s="120"/>
      <c r="IVY88" s="120"/>
      <c r="IVZ88" s="120"/>
      <c r="IWA88" s="120"/>
      <c r="IWB88" s="120"/>
      <c r="IWC88" s="120"/>
      <c r="IWD88" s="120"/>
      <c r="IWE88" s="120"/>
      <c r="IWF88" s="120"/>
      <c r="IWG88" s="120"/>
      <c r="IWH88" s="120"/>
      <c r="IWI88" s="120"/>
      <c r="IWJ88" s="120"/>
      <c r="IWK88" s="120"/>
      <c r="IWL88" s="120"/>
      <c r="IWM88" s="120"/>
      <c r="IWN88" s="120"/>
      <c r="IWO88" s="120"/>
      <c r="IWP88" s="120"/>
      <c r="IWQ88" s="120"/>
      <c r="IWR88" s="120"/>
      <c r="IWS88" s="120"/>
      <c r="IWT88" s="120"/>
      <c r="IWU88" s="120"/>
      <c r="IWV88" s="120"/>
      <c r="IWW88" s="120"/>
      <c r="IWX88" s="120"/>
      <c r="IWY88" s="120"/>
      <c r="IWZ88" s="120"/>
      <c r="IXA88" s="120"/>
      <c r="IXB88" s="120"/>
      <c r="IXC88" s="120"/>
      <c r="IXD88" s="120"/>
      <c r="IXE88" s="120"/>
      <c r="IXF88" s="120"/>
      <c r="IXG88" s="120"/>
      <c r="IXH88" s="120"/>
      <c r="IXI88" s="120"/>
      <c r="IXJ88" s="120"/>
      <c r="IXK88" s="120"/>
      <c r="IXL88" s="120"/>
      <c r="IXM88" s="120"/>
      <c r="IXN88" s="120"/>
      <c r="IXO88" s="120"/>
      <c r="IXP88" s="120"/>
      <c r="IXQ88" s="120"/>
      <c r="IXR88" s="120"/>
      <c r="IXS88" s="120"/>
      <c r="IXT88" s="120"/>
      <c r="IXU88" s="120"/>
      <c r="IXV88" s="120"/>
      <c r="IXW88" s="120"/>
      <c r="IXX88" s="120"/>
      <c r="IXY88" s="120"/>
      <c r="IXZ88" s="120"/>
      <c r="IYA88" s="120"/>
      <c r="IYB88" s="120"/>
      <c r="IYC88" s="120"/>
      <c r="IYD88" s="120"/>
      <c r="IYE88" s="120"/>
      <c r="IYF88" s="120"/>
      <c r="IYG88" s="120"/>
      <c r="IYH88" s="120"/>
      <c r="IYI88" s="120"/>
      <c r="IYJ88" s="120"/>
      <c r="IYK88" s="120"/>
      <c r="IYL88" s="120"/>
      <c r="IYM88" s="120"/>
      <c r="IYN88" s="120"/>
      <c r="IYO88" s="120"/>
      <c r="IYP88" s="120"/>
      <c r="IYQ88" s="120"/>
      <c r="IYR88" s="120"/>
      <c r="IYS88" s="120"/>
      <c r="IYT88" s="120"/>
      <c r="IYU88" s="120"/>
      <c r="IYV88" s="120"/>
      <c r="IYW88" s="120"/>
      <c r="IYX88" s="120"/>
      <c r="IYY88" s="120"/>
      <c r="IYZ88" s="120"/>
      <c r="IZA88" s="120"/>
      <c r="IZB88" s="120"/>
      <c r="IZC88" s="120"/>
      <c r="IZD88" s="120"/>
      <c r="IZE88" s="120"/>
      <c r="IZF88" s="120"/>
      <c r="IZG88" s="120"/>
      <c r="IZH88" s="120"/>
      <c r="IZI88" s="120"/>
      <c r="IZJ88" s="120"/>
      <c r="IZK88" s="120"/>
      <c r="IZL88" s="120"/>
      <c r="IZM88" s="120"/>
      <c r="IZN88" s="120"/>
      <c r="IZO88" s="120"/>
      <c r="IZP88" s="120"/>
      <c r="IZQ88" s="120"/>
      <c r="IZR88" s="120"/>
      <c r="IZS88" s="120"/>
      <c r="IZT88" s="120"/>
      <c r="IZU88" s="120"/>
      <c r="IZV88" s="120"/>
      <c r="IZW88" s="120"/>
      <c r="IZX88" s="120"/>
      <c r="IZY88" s="120"/>
      <c r="IZZ88" s="120"/>
      <c r="JAA88" s="120"/>
      <c r="JAB88" s="120"/>
      <c r="JAC88" s="120"/>
      <c r="JAD88" s="120"/>
      <c r="JAE88" s="120"/>
      <c r="JAF88" s="120"/>
      <c r="JAG88" s="120"/>
      <c r="JAH88" s="120"/>
      <c r="JAI88" s="120"/>
      <c r="JAJ88" s="120"/>
      <c r="JAK88" s="120"/>
      <c r="JAL88" s="120"/>
      <c r="JAM88" s="120"/>
      <c r="JAN88" s="120"/>
      <c r="JAO88" s="120"/>
      <c r="JAP88" s="120"/>
      <c r="JAQ88" s="120"/>
      <c r="JAR88" s="120"/>
      <c r="JAS88" s="120"/>
      <c r="JAT88" s="120"/>
      <c r="JAU88" s="120"/>
      <c r="JAV88" s="120"/>
      <c r="JAW88" s="120"/>
      <c r="JAX88" s="120"/>
      <c r="JAY88" s="120"/>
      <c r="JAZ88" s="120"/>
      <c r="JBA88" s="120"/>
      <c r="JBB88" s="120"/>
      <c r="JBC88" s="120"/>
      <c r="JBD88" s="120"/>
      <c r="JBE88" s="120"/>
      <c r="JBF88" s="120"/>
      <c r="JBG88" s="120"/>
      <c r="JBH88" s="120"/>
      <c r="JBI88" s="120"/>
      <c r="JBJ88" s="120"/>
      <c r="JBK88" s="120"/>
      <c r="JBL88" s="120"/>
      <c r="JBM88" s="120"/>
      <c r="JBN88" s="120"/>
      <c r="JBO88" s="120"/>
      <c r="JBP88" s="120"/>
      <c r="JBQ88" s="120"/>
      <c r="JBR88" s="120"/>
      <c r="JBS88" s="120"/>
      <c r="JBT88" s="120"/>
      <c r="JBU88" s="120"/>
      <c r="JBV88" s="120"/>
      <c r="JBW88" s="120"/>
      <c r="JBX88" s="120"/>
      <c r="JBY88" s="120"/>
      <c r="JBZ88" s="120"/>
      <c r="JCA88" s="120"/>
      <c r="JCB88" s="120"/>
      <c r="JCC88" s="120"/>
      <c r="JCD88" s="120"/>
      <c r="JCE88" s="120"/>
      <c r="JCF88" s="120"/>
      <c r="JCG88" s="120"/>
      <c r="JCH88" s="120"/>
      <c r="JCI88" s="120"/>
      <c r="JCJ88" s="120"/>
      <c r="JCK88" s="120"/>
      <c r="JCL88" s="120"/>
      <c r="JCM88" s="120"/>
      <c r="JCN88" s="120"/>
      <c r="JCO88" s="120"/>
      <c r="JCP88" s="120"/>
      <c r="JCQ88" s="120"/>
      <c r="JCR88" s="120"/>
      <c r="JCS88" s="120"/>
      <c r="JCT88" s="120"/>
      <c r="JCU88" s="120"/>
      <c r="JCV88" s="120"/>
      <c r="JCW88" s="120"/>
      <c r="JCX88" s="120"/>
      <c r="JCY88" s="120"/>
      <c r="JCZ88" s="120"/>
      <c r="JDA88" s="120"/>
      <c r="JDB88" s="120"/>
      <c r="JDC88" s="120"/>
      <c r="JDD88" s="120"/>
      <c r="JDE88" s="120"/>
      <c r="JDF88" s="120"/>
      <c r="JDG88" s="120"/>
      <c r="JDH88" s="120"/>
      <c r="JDI88" s="120"/>
      <c r="JDJ88" s="120"/>
      <c r="JDK88" s="120"/>
      <c r="JDL88" s="120"/>
      <c r="JDM88" s="120"/>
      <c r="JDN88" s="120"/>
      <c r="JDO88" s="120"/>
      <c r="JDP88" s="120"/>
      <c r="JDQ88" s="120"/>
      <c r="JDR88" s="120"/>
      <c r="JDS88" s="120"/>
      <c r="JDT88" s="120"/>
      <c r="JDU88" s="120"/>
      <c r="JDV88" s="120"/>
      <c r="JDW88" s="120"/>
      <c r="JDX88" s="120"/>
      <c r="JDY88" s="120"/>
      <c r="JDZ88" s="120"/>
      <c r="JEA88" s="120"/>
      <c r="JEB88" s="120"/>
      <c r="JEC88" s="120"/>
      <c r="JED88" s="120"/>
      <c r="JEE88" s="120"/>
      <c r="JEF88" s="120"/>
      <c r="JEG88" s="120"/>
      <c r="JEH88" s="120"/>
      <c r="JEI88" s="120"/>
      <c r="JEJ88" s="120"/>
      <c r="JEK88" s="120"/>
      <c r="JEL88" s="120"/>
      <c r="JEM88" s="120"/>
      <c r="JEN88" s="120"/>
      <c r="JEO88" s="120"/>
      <c r="JEP88" s="120"/>
      <c r="JEQ88" s="120"/>
      <c r="JER88" s="120"/>
      <c r="JES88" s="120"/>
      <c r="JET88" s="120"/>
      <c r="JEU88" s="120"/>
      <c r="JEV88" s="120"/>
      <c r="JEW88" s="120"/>
      <c r="JEX88" s="120"/>
      <c r="JEY88" s="120"/>
      <c r="JEZ88" s="120"/>
      <c r="JFA88" s="120"/>
      <c r="JFB88" s="120"/>
      <c r="JFC88" s="120"/>
      <c r="JFD88" s="120"/>
      <c r="JFE88" s="120"/>
      <c r="JFF88" s="120"/>
      <c r="JFG88" s="120"/>
      <c r="JFH88" s="120"/>
      <c r="JFI88" s="120"/>
      <c r="JFJ88" s="120"/>
      <c r="JFK88" s="120"/>
      <c r="JFL88" s="120"/>
      <c r="JFM88" s="120"/>
      <c r="JFN88" s="120"/>
      <c r="JFO88" s="120"/>
      <c r="JFP88" s="120"/>
      <c r="JFQ88" s="120"/>
      <c r="JFR88" s="120"/>
      <c r="JFS88" s="120"/>
      <c r="JFT88" s="120"/>
      <c r="JFU88" s="120"/>
      <c r="JFV88" s="120"/>
      <c r="JFW88" s="120"/>
      <c r="JFX88" s="120"/>
      <c r="JFY88" s="120"/>
      <c r="JFZ88" s="120"/>
      <c r="JGA88" s="120"/>
      <c r="JGB88" s="120"/>
      <c r="JGC88" s="120"/>
      <c r="JGD88" s="120"/>
      <c r="JGE88" s="120"/>
      <c r="JGF88" s="120"/>
      <c r="JGG88" s="120"/>
      <c r="JGH88" s="120"/>
      <c r="JGI88" s="120"/>
      <c r="JGJ88" s="120"/>
      <c r="JGK88" s="120"/>
      <c r="JGL88" s="120"/>
      <c r="JGM88" s="120"/>
      <c r="JGN88" s="120"/>
      <c r="JGO88" s="120"/>
      <c r="JGP88" s="120"/>
      <c r="JGQ88" s="120"/>
      <c r="JGR88" s="120"/>
      <c r="JGS88" s="120"/>
      <c r="JGT88" s="120"/>
      <c r="JGU88" s="120"/>
      <c r="JGV88" s="120"/>
      <c r="JGW88" s="120"/>
      <c r="JGX88" s="120"/>
      <c r="JGY88" s="120"/>
      <c r="JGZ88" s="120"/>
      <c r="JHA88" s="120"/>
      <c r="JHB88" s="120"/>
      <c r="JHC88" s="120"/>
      <c r="JHD88" s="120"/>
      <c r="JHE88" s="120"/>
      <c r="JHF88" s="120"/>
      <c r="JHG88" s="120"/>
      <c r="JHH88" s="120"/>
      <c r="JHI88" s="120"/>
      <c r="JHJ88" s="120"/>
      <c r="JHK88" s="120"/>
      <c r="JHL88" s="120"/>
      <c r="JHM88" s="120"/>
      <c r="JHN88" s="120"/>
      <c r="JHO88" s="120"/>
      <c r="JHP88" s="120"/>
      <c r="JHQ88" s="120"/>
      <c r="JHR88" s="120"/>
      <c r="JHS88" s="120"/>
      <c r="JHT88" s="120"/>
      <c r="JHU88" s="120"/>
      <c r="JHV88" s="120"/>
      <c r="JHW88" s="120"/>
      <c r="JHX88" s="120"/>
      <c r="JHY88" s="120"/>
      <c r="JHZ88" s="120"/>
      <c r="JIA88" s="120"/>
      <c r="JIB88" s="120"/>
      <c r="JIC88" s="120"/>
      <c r="JID88" s="120"/>
      <c r="JIE88" s="120"/>
      <c r="JIF88" s="120"/>
      <c r="JIG88" s="120"/>
      <c r="JIH88" s="120"/>
      <c r="JII88" s="120"/>
      <c r="JIJ88" s="120"/>
      <c r="JIK88" s="120"/>
      <c r="JIL88" s="120"/>
      <c r="JIM88" s="120"/>
      <c r="JIN88" s="120"/>
      <c r="JIO88" s="120"/>
      <c r="JIP88" s="120"/>
      <c r="JIQ88" s="120"/>
      <c r="JIR88" s="120"/>
      <c r="JIS88" s="120"/>
      <c r="JIT88" s="120"/>
      <c r="JIU88" s="120"/>
      <c r="JIV88" s="120"/>
      <c r="JIW88" s="120"/>
      <c r="JIX88" s="120"/>
      <c r="JIY88" s="120"/>
      <c r="JIZ88" s="120"/>
      <c r="JJA88" s="120"/>
      <c r="JJB88" s="120"/>
      <c r="JJC88" s="120"/>
      <c r="JJD88" s="120"/>
      <c r="JJE88" s="120"/>
      <c r="JJF88" s="120"/>
      <c r="JJG88" s="120"/>
      <c r="JJH88" s="120"/>
      <c r="JJI88" s="120"/>
      <c r="JJJ88" s="120"/>
      <c r="JJK88" s="120"/>
      <c r="JJL88" s="120"/>
      <c r="JJM88" s="120"/>
      <c r="JJN88" s="120"/>
      <c r="JJO88" s="120"/>
      <c r="JJP88" s="120"/>
      <c r="JJQ88" s="120"/>
      <c r="JJR88" s="120"/>
      <c r="JJS88" s="120"/>
      <c r="JJT88" s="120"/>
      <c r="JJU88" s="120"/>
      <c r="JJV88" s="120"/>
      <c r="JJW88" s="120"/>
      <c r="JJX88" s="120"/>
      <c r="JJY88" s="120"/>
      <c r="JJZ88" s="120"/>
      <c r="JKA88" s="120"/>
      <c r="JKB88" s="120"/>
      <c r="JKC88" s="120"/>
      <c r="JKD88" s="120"/>
      <c r="JKE88" s="120"/>
      <c r="JKF88" s="120"/>
      <c r="JKG88" s="120"/>
      <c r="JKH88" s="120"/>
      <c r="JKI88" s="120"/>
      <c r="JKJ88" s="120"/>
      <c r="JKK88" s="120"/>
      <c r="JKL88" s="120"/>
      <c r="JKM88" s="120"/>
      <c r="JKN88" s="120"/>
      <c r="JKO88" s="120"/>
      <c r="JKP88" s="120"/>
      <c r="JKQ88" s="120"/>
      <c r="JKR88" s="120"/>
      <c r="JKS88" s="120"/>
      <c r="JKT88" s="120"/>
      <c r="JKU88" s="120"/>
      <c r="JKV88" s="120"/>
      <c r="JKW88" s="120"/>
      <c r="JKX88" s="120"/>
      <c r="JKY88" s="120"/>
      <c r="JKZ88" s="120"/>
      <c r="JLA88" s="120"/>
      <c r="JLB88" s="120"/>
      <c r="JLC88" s="120"/>
      <c r="JLD88" s="120"/>
      <c r="JLE88" s="120"/>
      <c r="JLF88" s="120"/>
      <c r="JLG88" s="120"/>
      <c r="JLH88" s="120"/>
      <c r="JLI88" s="120"/>
      <c r="JLJ88" s="120"/>
      <c r="JLK88" s="120"/>
      <c r="JLL88" s="120"/>
      <c r="JLM88" s="120"/>
      <c r="JLN88" s="120"/>
      <c r="JLO88" s="120"/>
      <c r="JLP88" s="120"/>
      <c r="JLQ88" s="120"/>
      <c r="JLR88" s="120"/>
      <c r="JLS88" s="120"/>
      <c r="JLT88" s="120"/>
      <c r="JLU88" s="120"/>
      <c r="JLV88" s="120"/>
      <c r="JLW88" s="120"/>
      <c r="JLX88" s="120"/>
      <c r="JLY88" s="120"/>
      <c r="JLZ88" s="120"/>
      <c r="JMA88" s="120"/>
      <c r="JMB88" s="120"/>
      <c r="JMC88" s="120"/>
      <c r="JMD88" s="120"/>
      <c r="JME88" s="120"/>
      <c r="JMF88" s="120"/>
      <c r="JMG88" s="120"/>
      <c r="JMH88" s="120"/>
      <c r="JMI88" s="120"/>
      <c r="JMJ88" s="120"/>
      <c r="JMK88" s="120"/>
      <c r="JML88" s="120"/>
      <c r="JMM88" s="120"/>
      <c r="JMN88" s="120"/>
      <c r="JMO88" s="120"/>
      <c r="JMP88" s="120"/>
      <c r="JMQ88" s="120"/>
      <c r="JMR88" s="120"/>
      <c r="JMS88" s="120"/>
      <c r="JMT88" s="120"/>
      <c r="JMU88" s="120"/>
      <c r="JMV88" s="120"/>
      <c r="JMW88" s="120"/>
      <c r="JMX88" s="120"/>
      <c r="JMY88" s="120"/>
      <c r="JMZ88" s="120"/>
      <c r="JNA88" s="120"/>
      <c r="JNB88" s="120"/>
      <c r="JNC88" s="120"/>
      <c r="JND88" s="120"/>
      <c r="JNE88" s="120"/>
      <c r="JNF88" s="120"/>
      <c r="JNG88" s="120"/>
      <c r="JNH88" s="120"/>
      <c r="JNI88" s="120"/>
      <c r="JNJ88" s="120"/>
      <c r="JNK88" s="120"/>
      <c r="JNL88" s="120"/>
      <c r="JNM88" s="120"/>
      <c r="JNN88" s="120"/>
      <c r="JNO88" s="120"/>
      <c r="JNP88" s="120"/>
      <c r="JNQ88" s="120"/>
      <c r="JNR88" s="120"/>
      <c r="JNS88" s="120"/>
      <c r="JNT88" s="120"/>
      <c r="JNU88" s="120"/>
      <c r="JNV88" s="120"/>
      <c r="JNW88" s="120"/>
      <c r="JNX88" s="120"/>
      <c r="JNY88" s="120"/>
      <c r="JNZ88" s="120"/>
      <c r="JOA88" s="120"/>
      <c r="JOB88" s="120"/>
      <c r="JOC88" s="120"/>
      <c r="JOD88" s="120"/>
      <c r="JOE88" s="120"/>
      <c r="JOF88" s="120"/>
      <c r="JOG88" s="120"/>
      <c r="JOH88" s="120"/>
      <c r="JOI88" s="120"/>
      <c r="JOJ88" s="120"/>
      <c r="JOK88" s="120"/>
      <c r="JOL88" s="120"/>
      <c r="JOM88" s="120"/>
      <c r="JON88" s="120"/>
      <c r="JOO88" s="120"/>
      <c r="JOP88" s="120"/>
      <c r="JOQ88" s="120"/>
      <c r="JOR88" s="120"/>
      <c r="JOS88" s="120"/>
      <c r="JOT88" s="120"/>
      <c r="JOU88" s="120"/>
      <c r="JOV88" s="120"/>
      <c r="JOW88" s="120"/>
      <c r="JOX88" s="120"/>
      <c r="JOY88" s="120"/>
      <c r="JOZ88" s="120"/>
      <c r="JPA88" s="120"/>
      <c r="JPB88" s="120"/>
      <c r="JPC88" s="120"/>
      <c r="JPD88" s="120"/>
      <c r="JPE88" s="120"/>
      <c r="JPF88" s="120"/>
      <c r="JPG88" s="120"/>
      <c r="JPH88" s="120"/>
      <c r="JPI88" s="120"/>
      <c r="JPJ88" s="120"/>
      <c r="JPK88" s="120"/>
      <c r="JPL88" s="120"/>
      <c r="JPM88" s="120"/>
      <c r="JPN88" s="120"/>
      <c r="JPO88" s="120"/>
      <c r="JPP88" s="120"/>
      <c r="JPQ88" s="120"/>
      <c r="JPR88" s="120"/>
      <c r="JPS88" s="120"/>
      <c r="JPT88" s="120"/>
      <c r="JPU88" s="120"/>
      <c r="JPV88" s="120"/>
      <c r="JPW88" s="120"/>
      <c r="JPX88" s="120"/>
      <c r="JPY88" s="120"/>
      <c r="JPZ88" s="120"/>
      <c r="JQA88" s="120"/>
      <c r="JQB88" s="120"/>
      <c r="JQC88" s="120"/>
      <c r="JQD88" s="120"/>
      <c r="JQE88" s="120"/>
      <c r="JQF88" s="120"/>
      <c r="JQG88" s="120"/>
      <c r="JQH88" s="120"/>
      <c r="JQI88" s="120"/>
      <c r="JQJ88" s="120"/>
      <c r="JQK88" s="120"/>
      <c r="JQL88" s="120"/>
      <c r="JQM88" s="120"/>
      <c r="JQN88" s="120"/>
      <c r="JQO88" s="120"/>
      <c r="JQP88" s="120"/>
      <c r="JQQ88" s="120"/>
      <c r="JQR88" s="120"/>
      <c r="JQS88" s="120"/>
      <c r="JQT88" s="120"/>
      <c r="JQU88" s="120"/>
      <c r="JQV88" s="120"/>
      <c r="JQW88" s="120"/>
      <c r="JQX88" s="120"/>
      <c r="JQY88" s="120"/>
      <c r="JQZ88" s="120"/>
      <c r="JRA88" s="120"/>
      <c r="JRB88" s="120"/>
      <c r="JRC88" s="120"/>
      <c r="JRD88" s="120"/>
      <c r="JRE88" s="120"/>
      <c r="JRF88" s="120"/>
      <c r="JRG88" s="120"/>
      <c r="JRH88" s="120"/>
      <c r="JRI88" s="120"/>
      <c r="JRJ88" s="120"/>
      <c r="JRK88" s="120"/>
      <c r="JRL88" s="120"/>
      <c r="JRM88" s="120"/>
      <c r="JRN88" s="120"/>
      <c r="JRO88" s="120"/>
      <c r="JRP88" s="120"/>
      <c r="JRQ88" s="120"/>
      <c r="JRR88" s="120"/>
      <c r="JRS88" s="120"/>
      <c r="JRT88" s="120"/>
      <c r="JRU88" s="120"/>
      <c r="JRV88" s="120"/>
      <c r="JRW88" s="120"/>
      <c r="JRX88" s="120"/>
      <c r="JRY88" s="120"/>
      <c r="JRZ88" s="120"/>
      <c r="JSA88" s="120"/>
      <c r="JSB88" s="120"/>
      <c r="JSC88" s="120"/>
      <c r="JSD88" s="120"/>
      <c r="JSE88" s="120"/>
      <c r="JSF88" s="120"/>
      <c r="JSG88" s="120"/>
      <c r="JSH88" s="120"/>
      <c r="JSI88" s="120"/>
      <c r="JSJ88" s="120"/>
      <c r="JSK88" s="120"/>
      <c r="JSL88" s="120"/>
      <c r="JSM88" s="120"/>
      <c r="JSN88" s="120"/>
      <c r="JSO88" s="120"/>
      <c r="JSP88" s="120"/>
      <c r="JSQ88" s="120"/>
      <c r="JSR88" s="120"/>
      <c r="JSS88" s="120"/>
      <c r="JST88" s="120"/>
      <c r="JSU88" s="120"/>
      <c r="JSV88" s="120"/>
      <c r="JSW88" s="120"/>
      <c r="JSX88" s="120"/>
      <c r="JSY88" s="120"/>
      <c r="JSZ88" s="120"/>
      <c r="JTA88" s="120"/>
      <c r="JTB88" s="120"/>
      <c r="JTC88" s="120"/>
      <c r="JTD88" s="120"/>
      <c r="JTE88" s="120"/>
      <c r="JTF88" s="120"/>
      <c r="JTG88" s="120"/>
      <c r="JTH88" s="120"/>
      <c r="JTI88" s="120"/>
      <c r="JTJ88" s="120"/>
      <c r="JTK88" s="120"/>
      <c r="JTL88" s="120"/>
      <c r="JTM88" s="120"/>
      <c r="JTN88" s="120"/>
      <c r="JTO88" s="120"/>
      <c r="JTP88" s="120"/>
      <c r="JTQ88" s="120"/>
      <c r="JTR88" s="120"/>
      <c r="JTS88" s="120"/>
      <c r="JTT88" s="120"/>
      <c r="JTU88" s="120"/>
      <c r="JTV88" s="120"/>
      <c r="JTW88" s="120"/>
      <c r="JTX88" s="120"/>
      <c r="JTY88" s="120"/>
      <c r="JTZ88" s="120"/>
      <c r="JUA88" s="120"/>
      <c r="JUB88" s="120"/>
      <c r="JUC88" s="120"/>
      <c r="JUD88" s="120"/>
      <c r="JUE88" s="120"/>
      <c r="JUF88" s="120"/>
      <c r="JUG88" s="120"/>
      <c r="JUH88" s="120"/>
      <c r="JUI88" s="120"/>
      <c r="JUJ88" s="120"/>
      <c r="JUK88" s="120"/>
      <c r="JUL88" s="120"/>
      <c r="JUM88" s="120"/>
      <c r="JUN88" s="120"/>
      <c r="JUO88" s="120"/>
      <c r="JUP88" s="120"/>
      <c r="JUQ88" s="120"/>
      <c r="JUR88" s="120"/>
      <c r="JUS88" s="120"/>
      <c r="JUT88" s="120"/>
      <c r="JUU88" s="120"/>
      <c r="JUV88" s="120"/>
      <c r="JUW88" s="120"/>
      <c r="JUX88" s="120"/>
      <c r="JUY88" s="120"/>
      <c r="JUZ88" s="120"/>
      <c r="JVA88" s="120"/>
      <c r="JVB88" s="120"/>
      <c r="JVC88" s="120"/>
      <c r="JVD88" s="120"/>
      <c r="JVE88" s="120"/>
      <c r="JVF88" s="120"/>
      <c r="JVG88" s="120"/>
      <c r="JVH88" s="120"/>
      <c r="JVI88" s="120"/>
      <c r="JVJ88" s="120"/>
      <c r="JVK88" s="120"/>
      <c r="JVL88" s="120"/>
      <c r="JVM88" s="120"/>
      <c r="JVN88" s="120"/>
      <c r="JVO88" s="120"/>
      <c r="JVP88" s="120"/>
      <c r="JVQ88" s="120"/>
      <c r="JVR88" s="120"/>
      <c r="JVS88" s="120"/>
      <c r="JVT88" s="120"/>
      <c r="JVU88" s="120"/>
      <c r="JVV88" s="120"/>
      <c r="JVW88" s="120"/>
      <c r="JVX88" s="120"/>
      <c r="JVY88" s="120"/>
      <c r="JVZ88" s="120"/>
      <c r="JWA88" s="120"/>
      <c r="JWB88" s="120"/>
      <c r="JWC88" s="120"/>
      <c r="JWD88" s="120"/>
      <c r="JWE88" s="120"/>
      <c r="JWF88" s="120"/>
      <c r="JWG88" s="120"/>
      <c r="JWH88" s="120"/>
      <c r="JWI88" s="120"/>
      <c r="JWJ88" s="120"/>
      <c r="JWK88" s="120"/>
      <c r="JWL88" s="120"/>
      <c r="JWM88" s="120"/>
      <c r="JWN88" s="120"/>
      <c r="JWO88" s="120"/>
      <c r="JWP88" s="120"/>
      <c r="JWQ88" s="120"/>
      <c r="JWR88" s="120"/>
      <c r="JWS88" s="120"/>
      <c r="JWT88" s="120"/>
      <c r="JWU88" s="120"/>
      <c r="JWV88" s="120"/>
      <c r="JWW88" s="120"/>
      <c r="JWX88" s="120"/>
      <c r="JWY88" s="120"/>
      <c r="JWZ88" s="120"/>
      <c r="JXA88" s="120"/>
      <c r="JXB88" s="120"/>
      <c r="JXC88" s="120"/>
      <c r="JXD88" s="120"/>
      <c r="JXE88" s="120"/>
      <c r="JXF88" s="120"/>
      <c r="JXG88" s="120"/>
      <c r="JXH88" s="120"/>
      <c r="JXI88" s="120"/>
      <c r="JXJ88" s="120"/>
      <c r="JXK88" s="120"/>
      <c r="JXL88" s="120"/>
      <c r="JXM88" s="120"/>
      <c r="JXN88" s="120"/>
      <c r="JXO88" s="120"/>
      <c r="JXP88" s="120"/>
      <c r="JXQ88" s="120"/>
      <c r="JXR88" s="120"/>
      <c r="JXS88" s="120"/>
      <c r="JXT88" s="120"/>
      <c r="JXU88" s="120"/>
      <c r="JXV88" s="120"/>
      <c r="JXW88" s="120"/>
      <c r="JXX88" s="120"/>
      <c r="JXY88" s="120"/>
      <c r="JXZ88" s="120"/>
      <c r="JYA88" s="120"/>
      <c r="JYB88" s="120"/>
      <c r="JYC88" s="120"/>
      <c r="JYD88" s="120"/>
      <c r="JYE88" s="120"/>
      <c r="JYF88" s="120"/>
      <c r="JYG88" s="120"/>
      <c r="JYH88" s="120"/>
      <c r="JYI88" s="120"/>
      <c r="JYJ88" s="120"/>
      <c r="JYK88" s="120"/>
      <c r="JYL88" s="120"/>
      <c r="JYM88" s="120"/>
      <c r="JYN88" s="120"/>
      <c r="JYO88" s="120"/>
      <c r="JYP88" s="120"/>
      <c r="JYQ88" s="120"/>
      <c r="JYR88" s="120"/>
      <c r="JYS88" s="120"/>
      <c r="JYT88" s="120"/>
      <c r="JYU88" s="120"/>
      <c r="JYV88" s="120"/>
      <c r="JYW88" s="120"/>
      <c r="JYX88" s="120"/>
      <c r="JYY88" s="120"/>
      <c r="JYZ88" s="120"/>
      <c r="JZA88" s="120"/>
      <c r="JZB88" s="120"/>
      <c r="JZC88" s="120"/>
      <c r="JZD88" s="120"/>
      <c r="JZE88" s="120"/>
      <c r="JZF88" s="120"/>
      <c r="JZG88" s="120"/>
      <c r="JZH88" s="120"/>
      <c r="JZI88" s="120"/>
      <c r="JZJ88" s="120"/>
      <c r="JZK88" s="120"/>
      <c r="JZL88" s="120"/>
      <c r="JZM88" s="120"/>
      <c r="JZN88" s="120"/>
      <c r="JZO88" s="120"/>
      <c r="JZP88" s="120"/>
      <c r="JZQ88" s="120"/>
      <c r="JZR88" s="120"/>
      <c r="JZS88" s="120"/>
      <c r="JZT88" s="120"/>
      <c r="JZU88" s="120"/>
      <c r="JZV88" s="120"/>
      <c r="JZW88" s="120"/>
      <c r="JZX88" s="120"/>
      <c r="JZY88" s="120"/>
      <c r="JZZ88" s="120"/>
      <c r="KAA88" s="120"/>
      <c r="KAB88" s="120"/>
      <c r="KAC88" s="120"/>
      <c r="KAD88" s="120"/>
      <c r="KAE88" s="120"/>
      <c r="KAF88" s="120"/>
      <c r="KAG88" s="120"/>
      <c r="KAH88" s="120"/>
      <c r="KAI88" s="120"/>
      <c r="KAJ88" s="120"/>
      <c r="KAK88" s="120"/>
      <c r="KAL88" s="120"/>
      <c r="KAM88" s="120"/>
      <c r="KAN88" s="120"/>
      <c r="KAO88" s="120"/>
      <c r="KAP88" s="120"/>
      <c r="KAQ88" s="120"/>
      <c r="KAR88" s="120"/>
      <c r="KAS88" s="120"/>
      <c r="KAT88" s="120"/>
      <c r="KAU88" s="120"/>
      <c r="KAV88" s="120"/>
      <c r="KAW88" s="120"/>
      <c r="KAX88" s="120"/>
      <c r="KAY88" s="120"/>
      <c r="KAZ88" s="120"/>
      <c r="KBA88" s="120"/>
      <c r="KBB88" s="120"/>
      <c r="KBC88" s="120"/>
      <c r="KBD88" s="120"/>
      <c r="KBE88" s="120"/>
      <c r="KBF88" s="120"/>
      <c r="KBG88" s="120"/>
      <c r="KBH88" s="120"/>
      <c r="KBI88" s="120"/>
      <c r="KBJ88" s="120"/>
      <c r="KBK88" s="120"/>
      <c r="KBL88" s="120"/>
      <c r="KBM88" s="120"/>
      <c r="KBN88" s="120"/>
      <c r="KBO88" s="120"/>
      <c r="KBP88" s="120"/>
      <c r="KBQ88" s="120"/>
      <c r="KBR88" s="120"/>
      <c r="KBS88" s="120"/>
      <c r="KBT88" s="120"/>
      <c r="KBU88" s="120"/>
      <c r="KBV88" s="120"/>
      <c r="KBW88" s="120"/>
      <c r="KBX88" s="120"/>
      <c r="KBY88" s="120"/>
      <c r="KBZ88" s="120"/>
      <c r="KCA88" s="120"/>
      <c r="KCB88" s="120"/>
      <c r="KCC88" s="120"/>
      <c r="KCD88" s="120"/>
      <c r="KCE88" s="120"/>
      <c r="KCF88" s="120"/>
      <c r="KCG88" s="120"/>
      <c r="KCH88" s="120"/>
      <c r="KCI88" s="120"/>
      <c r="KCJ88" s="120"/>
      <c r="KCK88" s="120"/>
      <c r="KCL88" s="120"/>
      <c r="KCM88" s="120"/>
      <c r="KCN88" s="120"/>
      <c r="KCO88" s="120"/>
      <c r="KCP88" s="120"/>
      <c r="KCQ88" s="120"/>
      <c r="KCR88" s="120"/>
      <c r="KCS88" s="120"/>
      <c r="KCT88" s="120"/>
      <c r="KCU88" s="120"/>
      <c r="KCV88" s="120"/>
      <c r="KCW88" s="120"/>
      <c r="KCX88" s="120"/>
      <c r="KCY88" s="120"/>
      <c r="KCZ88" s="120"/>
      <c r="KDA88" s="120"/>
      <c r="KDB88" s="120"/>
      <c r="KDC88" s="120"/>
      <c r="KDD88" s="120"/>
      <c r="KDE88" s="120"/>
      <c r="KDF88" s="120"/>
      <c r="KDG88" s="120"/>
      <c r="KDH88" s="120"/>
      <c r="KDI88" s="120"/>
      <c r="KDJ88" s="120"/>
      <c r="KDK88" s="120"/>
      <c r="KDL88" s="120"/>
      <c r="KDM88" s="120"/>
      <c r="KDN88" s="120"/>
      <c r="KDO88" s="120"/>
      <c r="KDP88" s="120"/>
      <c r="KDQ88" s="120"/>
      <c r="KDR88" s="120"/>
      <c r="KDS88" s="120"/>
      <c r="KDT88" s="120"/>
      <c r="KDU88" s="120"/>
      <c r="KDV88" s="120"/>
      <c r="KDW88" s="120"/>
      <c r="KDX88" s="120"/>
      <c r="KDY88" s="120"/>
      <c r="KDZ88" s="120"/>
      <c r="KEA88" s="120"/>
      <c r="KEB88" s="120"/>
      <c r="KEC88" s="120"/>
      <c r="KED88" s="120"/>
      <c r="KEE88" s="120"/>
      <c r="KEF88" s="120"/>
      <c r="KEG88" s="120"/>
      <c r="KEH88" s="120"/>
      <c r="KEI88" s="120"/>
      <c r="KEJ88" s="120"/>
      <c r="KEK88" s="120"/>
      <c r="KEL88" s="120"/>
      <c r="KEM88" s="120"/>
      <c r="KEN88" s="120"/>
      <c r="KEO88" s="120"/>
      <c r="KEP88" s="120"/>
      <c r="KEQ88" s="120"/>
      <c r="KER88" s="120"/>
      <c r="KES88" s="120"/>
      <c r="KET88" s="120"/>
      <c r="KEU88" s="120"/>
      <c r="KEV88" s="120"/>
      <c r="KEW88" s="120"/>
      <c r="KEX88" s="120"/>
      <c r="KEY88" s="120"/>
      <c r="KEZ88" s="120"/>
      <c r="KFA88" s="120"/>
      <c r="KFB88" s="120"/>
      <c r="KFC88" s="120"/>
      <c r="KFD88" s="120"/>
      <c r="KFE88" s="120"/>
      <c r="KFF88" s="120"/>
      <c r="KFG88" s="120"/>
      <c r="KFH88" s="120"/>
      <c r="KFI88" s="120"/>
      <c r="KFJ88" s="120"/>
      <c r="KFK88" s="120"/>
      <c r="KFL88" s="120"/>
      <c r="KFM88" s="120"/>
      <c r="KFN88" s="120"/>
      <c r="KFO88" s="120"/>
      <c r="KFP88" s="120"/>
      <c r="KFQ88" s="120"/>
      <c r="KFR88" s="120"/>
      <c r="KFS88" s="120"/>
      <c r="KFT88" s="120"/>
      <c r="KFU88" s="120"/>
      <c r="KFV88" s="120"/>
      <c r="KFW88" s="120"/>
      <c r="KFX88" s="120"/>
      <c r="KFY88" s="120"/>
      <c r="KFZ88" s="120"/>
      <c r="KGA88" s="120"/>
      <c r="KGB88" s="120"/>
      <c r="KGC88" s="120"/>
      <c r="KGD88" s="120"/>
      <c r="KGE88" s="120"/>
      <c r="KGF88" s="120"/>
      <c r="KGG88" s="120"/>
      <c r="KGH88" s="120"/>
      <c r="KGI88" s="120"/>
      <c r="KGJ88" s="120"/>
      <c r="KGK88" s="120"/>
      <c r="KGL88" s="120"/>
      <c r="KGM88" s="120"/>
      <c r="KGN88" s="120"/>
      <c r="KGO88" s="120"/>
      <c r="KGP88" s="120"/>
      <c r="KGQ88" s="120"/>
      <c r="KGR88" s="120"/>
      <c r="KGS88" s="120"/>
      <c r="KGT88" s="120"/>
      <c r="KGU88" s="120"/>
      <c r="KGV88" s="120"/>
      <c r="KGW88" s="120"/>
      <c r="KGX88" s="120"/>
      <c r="KGY88" s="120"/>
      <c r="KGZ88" s="120"/>
      <c r="KHA88" s="120"/>
      <c r="KHB88" s="120"/>
      <c r="KHC88" s="120"/>
      <c r="KHD88" s="120"/>
      <c r="KHE88" s="120"/>
      <c r="KHF88" s="120"/>
      <c r="KHG88" s="120"/>
      <c r="KHH88" s="120"/>
      <c r="KHI88" s="120"/>
      <c r="KHJ88" s="120"/>
      <c r="KHK88" s="120"/>
      <c r="KHL88" s="120"/>
      <c r="KHM88" s="120"/>
      <c r="KHN88" s="120"/>
      <c r="KHO88" s="120"/>
      <c r="KHP88" s="120"/>
      <c r="KHQ88" s="120"/>
      <c r="KHR88" s="120"/>
      <c r="KHS88" s="120"/>
      <c r="KHT88" s="120"/>
      <c r="KHU88" s="120"/>
      <c r="KHV88" s="120"/>
      <c r="KHW88" s="120"/>
      <c r="KHX88" s="120"/>
      <c r="KHY88" s="120"/>
      <c r="KHZ88" s="120"/>
      <c r="KIA88" s="120"/>
      <c r="KIB88" s="120"/>
      <c r="KIC88" s="120"/>
      <c r="KID88" s="120"/>
      <c r="KIE88" s="120"/>
      <c r="KIF88" s="120"/>
      <c r="KIG88" s="120"/>
      <c r="KIH88" s="120"/>
      <c r="KII88" s="120"/>
      <c r="KIJ88" s="120"/>
      <c r="KIK88" s="120"/>
      <c r="KIL88" s="120"/>
      <c r="KIM88" s="120"/>
      <c r="KIN88" s="120"/>
      <c r="KIO88" s="120"/>
      <c r="KIP88" s="120"/>
      <c r="KIQ88" s="120"/>
      <c r="KIR88" s="120"/>
      <c r="KIS88" s="120"/>
      <c r="KIT88" s="120"/>
      <c r="KIU88" s="120"/>
      <c r="KIV88" s="120"/>
      <c r="KIW88" s="120"/>
      <c r="KIX88" s="120"/>
      <c r="KIY88" s="120"/>
      <c r="KIZ88" s="120"/>
      <c r="KJA88" s="120"/>
      <c r="KJB88" s="120"/>
      <c r="KJC88" s="120"/>
      <c r="KJD88" s="120"/>
      <c r="KJE88" s="120"/>
      <c r="KJF88" s="120"/>
      <c r="KJG88" s="120"/>
      <c r="KJH88" s="120"/>
      <c r="KJI88" s="120"/>
      <c r="KJJ88" s="120"/>
      <c r="KJK88" s="120"/>
      <c r="KJL88" s="120"/>
      <c r="KJM88" s="120"/>
      <c r="KJN88" s="120"/>
      <c r="KJO88" s="120"/>
      <c r="KJP88" s="120"/>
      <c r="KJQ88" s="120"/>
      <c r="KJR88" s="120"/>
      <c r="KJS88" s="120"/>
      <c r="KJT88" s="120"/>
      <c r="KJU88" s="120"/>
      <c r="KJV88" s="120"/>
      <c r="KJW88" s="120"/>
      <c r="KJX88" s="120"/>
      <c r="KJY88" s="120"/>
      <c r="KJZ88" s="120"/>
      <c r="KKA88" s="120"/>
      <c r="KKB88" s="120"/>
      <c r="KKC88" s="120"/>
      <c r="KKD88" s="120"/>
      <c r="KKE88" s="120"/>
      <c r="KKF88" s="120"/>
      <c r="KKG88" s="120"/>
      <c r="KKH88" s="120"/>
      <c r="KKI88" s="120"/>
      <c r="KKJ88" s="120"/>
      <c r="KKK88" s="120"/>
      <c r="KKL88" s="120"/>
      <c r="KKM88" s="120"/>
      <c r="KKN88" s="120"/>
      <c r="KKO88" s="120"/>
      <c r="KKP88" s="120"/>
      <c r="KKQ88" s="120"/>
      <c r="KKR88" s="120"/>
      <c r="KKS88" s="120"/>
      <c r="KKT88" s="120"/>
      <c r="KKU88" s="120"/>
      <c r="KKV88" s="120"/>
      <c r="KKW88" s="120"/>
      <c r="KKX88" s="120"/>
      <c r="KKY88" s="120"/>
      <c r="KKZ88" s="120"/>
      <c r="KLA88" s="120"/>
      <c r="KLB88" s="120"/>
      <c r="KLC88" s="120"/>
      <c r="KLD88" s="120"/>
      <c r="KLE88" s="120"/>
      <c r="KLF88" s="120"/>
      <c r="KLG88" s="120"/>
      <c r="KLH88" s="120"/>
      <c r="KLI88" s="120"/>
      <c r="KLJ88" s="120"/>
      <c r="KLK88" s="120"/>
      <c r="KLL88" s="120"/>
      <c r="KLM88" s="120"/>
      <c r="KLN88" s="120"/>
      <c r="KLO88" s="120"/>
      <c r="KLP88" s="120"/>
      <c r="KLQ88" s="120"/>
      <c r="KLR88" s="120"/>
      <c r="KLS88" s="120"/>
      <c r="KLT88" s="120"/>
      <c r="KLU88" s="120"/>
      <c r="KLV88" s="120"/>
      <c r="KLW88" s="120"/>
      <c r="KLX88" s="120"/>
      <c r="KLY88" s="120"/>
      <c r="KLZ88" s="120"/>
      <c r="KMA88" s="120"/>
      <c r="KMB88" s="120"/>
      <c r="KMC88" s="120"/>
      <c r="KMD88" s="120"/>
      <c r="KME88" s="120"/>
      <c r="KMF88" s="120"/>
      <c r="KMG88" s="120"/>
      <c r="KMH88" s="120"/>
      <c r="KMI88" s="120"/>
      <c r="KMJ88" s="120"/>
      <c r="KMK88" s="120"/>
      <c r="KML88" s="120"/>
      <c r="KMM88" s="120"/>
      <c r="KMN88" s="120"/>
      <c r="KMO88" s="120"/>
      <c r="KMP88" s="120"/>
      <c r="KMQ88" s="120"/>
      <c r="KMR88" s="120"/>
      <c r="KMS88" s="120"/>
      <c r="KMT88" s="120"/>
      <c r="KMU88" s="120"/>
      <c r="KMV88" s="120"/>
      <c r="KMW88" s="120"/>
      <c r="KMX88" s="120"/>
      <c r="KMY88" s="120"/>
      <c r="KMZ88" s="120"/>
      <c r="KNA88" s="120"/>
      <c r="KNB88" s="120"/>
      <c r="KNC88" s="120"/>
      <c r="KND88" s="120"/>
      <c r="KNE88" s="120"/>
      <c r="KNF88" s="120"/>
      <c r="KNG88" s="120"/>
      <c r="KNH88" s="120"/>
      <c r="KNI88" s="120"/>
      <c r="KNJ88" s="120"/>
      <c r="KNK88" s="120"/>
      <c r="KNL88" s="120"/>
      <c r="KNM88" s="120"/>
      <c r="KNN88" s="120"/>
      <c r="KNO88" s="120"/>
      <c r="KNP88" s="120"/>
      <c r="KNQ88" s="120"/>
      <c r="KNR88" s="120"/>
      <c r="KNS88" s="120"/>
      <c r="KNT88" s="120"/>
      <c r="KNU88" s="120"/>
      <c r="KNV88" s="120"/>
      <c r="KNW88" s="120"/>
      <c r="KNX88" s="120"/>
      <c r="KNY88" s="120"/>
      <c r="KNZ88" s="120"/>
      <c r="KOA88" s="120"/>
      <c r="KOB88" s="120"/>
      <c r="KOC88" s="120"/>
      <c r="KOD88" s="120"/>
      <c r="KOE88" s="120"/>
      <c r="KOF88" s="120"/>
      <c r="KOG88" s="120"/>
      <c r="KOH88" s="120"/>
      <c r="KOI88" s="120"/>
      <c r="KOJ88" s="120"/>
      <c r="KOK88" s="120"/>
      <c r="KOL88" s="120"/>
      <c r="KOM88" s="120"/>
      <c r="KON88" s="120"/>
      <c r="KOO88" s="120"/>
      <c r="KOP88" s="120"/>
      <c r="KOQ88" s="120"/>
      <c r="KOR88" s="120"/>
      <c r="KOS88" s="120"/>
      <c r="KOT88" s="120"/>
      <c r="KOU88" s="120"/>
      <c r="KOV88" s="120"/>
      <c r="KOW88" s="120"/>
      <c r="KOX88" s="120"/>
      <c r="KOY88" s="120"/>
      <c r="KOZ88" s="120"/>
      <c r="KPA88" s="120"/>
      <c r="KPB88" s="120"/>
      <c r="KPC88" s="120"/>
      <c r="KPD88" s="120"/>
      <c r="KPE88" s="120"/>
      <c r="KPF88" s="120"/>
      <c r="KPG88" s="120"/>
      <c r="KPH88" s="120"/>
      <c r="KPI88" s="120"/>
      <c r="KPJ88" s="120"/>
      <c r="KPK88" s="120"/>
      <c r="KPL88" s="120"/>
      <c r="KPM88" s="120"/>
      <c r="KPN88" s="120"/>
      <c r="KPO88" s="120"/>
      <c r="KPP88" s="120"/>
      <c r="KPQ88" s="120"/>
      <c r="KPR88" s="120"/>
      <c r="KPS88" s="120"/>
      <c r="KPT88" s="120"/>
      <c r="KPU88" s="120"/>
      <c r="KPV88" s="120"/>
      <c r="KPW88" s="120"/>
      <c r="KPX88" s="120"/>
      <c r="KPY88" s="120"/>
      <c r="KPZ88" s="120"/>
      <c r="KQA88" s="120"/>
      <c r="KQB88" s="120"/>
      <c r="KQC88" s="120"/>
      <c r="KQD88" s="120"/>
      <c r="KQE88" s="120"/>
      <c r="KQF88" s="120"/>
      <c r="KQG88" s="120"/>
      <c r="KQH88" s="120"/>
      <c r="KQI88" s="120"/>
      <c r="KQJ88" s="120"/>
      <c r="KQK88" s="120"/>
      <c r="KQL88" s="120"/>
      <c r="KQM88" s="120"/>
      <c r="KQN88" s="120"/>
      <c r="KQO88" s="120"/>
      <c r="KQP88" s="120"/>
      <c r="KQQ88" s="120"/>
      <c r="KQR88" s="120"/>
      <c r="KQS88" s="120"/>
      <c r="KQT88" s="120"/>
      <c r="KQU88" s="120"/>
      <c r="KQV88" s="120"/>
      <c r="KQW88" s="120"/>
      <c r="KQX88" s="120"/>
      <c r="KQY88" s="120"/>
      <c r="KQZ88" s="120"/>
      <c r="KRA88" s="120"/>
      <c r="KRB88" s="120"/>
      <c r="KRC88" s="120"/>
      <c r="KRD88" s="120"/>
      <c r="KRE88" s="120"/>
      <c r="KRF88" s="120"/>
      <c r="KRG88" s="120"/>
      <c r="KRH88" s="120"/>
      <c r="KRI88" s="120"/>
      <c r="KRJ88" s="120"/>
      <c r="KRK88" s="120"/>
      <c r="KRL88" s="120"/>
      <c r="KRM88" s="120"/>
      <c r="KRN88" s="120"/>
      <c r="KRO88" s="120"/>
      <c r="KRP88" s="120"/>
      <c r="KRQ88" s="120"/>
      <c r="KRR88" s="120"/>
      <c r="KRS88" s="120"/>
      <c r="KRT88" s="120"/>
      <c r="KRU88" s="120"/>
      <c r="KRV88" s="120"/>
      <c r="KRW88" s="120"/>
      <c r="KRX88" s="120"/>
      <c r="KRY88" s="120"/>
      <c r="KRZ88" s="120"/>
      <c r="KSA88" s="120"/>
      <c r="KSB88" s="120"/>
      <c r="KSC88" s="120"/>
      <c r="KSD88" s="120"/>
      <c r="KSE88" s="120"/>
      <c r="KSF88" s="120"/>
      <c r="KSG88" s="120"/>
      <c r="KSH88" s="120"/>
      <c r="KSI88" s="120"/>
      <c r="KSJ88" s="120"/>
      <c r="KSK88" s="120"/>
      <c r="KSL88" s="120"/>
      <c r="KSM88" s="120"/>
      <c r="KSN88" s="120"/>
      <c r="KSO88" s="120"/>
      <c r="KSP88" s="120"/>
      <c r="KSQ88" s="120"/>
      <c r="KSR88" s="120"/>
      <c r="KSS88" s="120"/>
      <c r="KST88" s="120"/>
      <c r="KSU88" s="120"/>
      <c r="KSV88" s="120"/>
      <c r="KSW88" s="120"/>
      <c r="KSX88" s="120"/>
      <c r="KSY88" s="120"/>
      <c r="KSZ88" s="120"/>
      <c r="KTA88" s="120"/>
      <c r="KTB88" s="120"/>
      <c r="KTC88" s="120"/>
      <c r="KTD88" s="120"/>
      <c r="KTE88" s="120"/>
      <c r="KTF88" s="120"/>
      <c r="KTG88" s="120"/>
      <c r="KTH88" s="120"/>
      <c r="KTI88" s="120"/>
      <c r="KTJ88" s="120"/>
      <c r="KTK88" s="120"/>
      <c r="KTL88" s="120"/>
      <c r="KTM88" s="120"/>
      <c r="KTN88" s="120"/>
      <c r="KTO88" s="120"/>
      <c r="KTP88" s="120"/>
      <c r="KTQ88" s="120"/>
      <c r="KTR88" s="120"/>
      <c r="KTS88" s="120"/>
      <c r="KTT88" s="120"/>
      <c r="KTU88" s="120"/>
      <c r="KTV88" s="120"/>
      <c r="KTW88" s="120"/>
      <c r="KTX88" s="120"/>
      <c r="KTY88" s="120"/>
      <c r="KTZ88" s="120"/>
      <c r="KUA88" s="120"/>
      <c r="KUB88" s="120"/>
      <c r="KUC88" s="120"/>
      <c r="KUD88" s="120"/>
      <c r="KUE88" s="120"/>
      <c r="KUF88" s="120"/>
      <c r="KUG88" s="120"/>
      <c r="KUH88" s="120"/>
      <c r="KUI88" s="120"/>
      <c r="KUJ88" s="120"/>
      <c r="KUK88" s="120"/>
      <c r="KUL88" s="120"/>
      <c r="KUM88" s="120"/>
      <c r="KUN88" s="120"/>
      <c r="KUO88" s="120"/>
      <c r="KUP88" s="120"/>
      <c r="KUQ88" s="120"/>
      <c r="KUR88" s="120"/>
      <c r="KUS88" s="120"/>
      <c r="KUT88" s="120"/>
      <c r="KUU88" s="120"/>
      <c r="KUV88" s="120"/>
      <c r="KUW88" s="120"/>
      <c r="KUX88" s="120"/>
      <c r="KUY88" s="120"/>
      <c r="KUZ88" s="120"/>
      <c r="KVA88" s="120"/>
      <c r="KVB88" s="120"/>
      <c r="KVC88" s="120"/>
      <c r="KVD88" s="120"/>
      <c r="KVE88" s="120"/>
      <c r="KVF88" s="120"/>
      <c r="KVG88" s="120"/>
      <c r="KVH88" s="120"/>
      <c r="KVI88" s="120"/>
      <c r="KVJ88" s="120"/>
      <c r="KVK88" s="120"/>
      <c r="KVL88" s="120"/>
      <c r="KVM88" s="120"/>
      <c r="KVN88" s="120"/>
      <c r="KVO88" s="120"/>
      <c r="KVP88" s="120"/>
      <c r="KVQ88" s="120"/>
      <c r="KVR88" s="120"/>
      <c r="KVS88" s="120"/>
      <c r="KVT88" s="120"/>
      <c r="KVU88" s="120"/>
      <c r="KVV88" s="120"/>
      <c r="KVW88" s="120"/>
      <c r="KVX88" s="120"/>
      <c r="KVY88" s="120"/>
      <c r="KVZ88" s="120"/>
      <c r="KWA88" s="120"/>
      <c r="KWB88" s="120"/>
      <c r="KWC88" s="120"/>
      <c r="KWD88" s="120"/>
      <c r="KWE88" s="120"/>
      <c r="KWF88" s="120"/>
      <c r="KWG88" s="120"/>
      <c r="KWH88" s="120"/>
      <c r="KWI88" s="120"/>
      <c r="KWJ88" s="120"/>
      <c r="KWK88" s="120"/>
      <c r="KWL88" s="120"/>
      <c r="KWM88" s="120"/>
      <c r="KWN88" s="120"/>
      <c r="KWO88" s="120"/>
      <c r="KWP88" s="120"/>
      <c r="KWQ88" s="120"/>
      <c r="KWR88" s="120"/>
      <c r="KWS88" s="120"/>
      <c r="KWT88" s="120"/>
      <c r="KWU88" s="120"/>
      <c r="KWV88" s="120"/>
      <c r="KWW88" s="120"/>
      <c r="KWX88" s="120"/>
      <c r="KWY88" s="120"/>
      <c r="KWZ88" s="120"/>
      <c r="KXA88" s="120"/>
      <c r="KXB88" s="120"/>
      <c r="KXC88" s="120"/>
      <c r="KXD88" s="120"/>
      <c r="KXE88" s="120"/>
      <c r="KXF88" s="120"/>
      <c r="KXG88" s="120"/>
      <c r="KXH88" s="120"/>
      <c r="KXI88" s="120"/>
      <c r="KXJ88" s="120"/>
      <c r="KXK88" s="120"/>
      <c r="KXL88" s="120"/>
      <c r="KXM88" s="120"/>
      <c r="KXN88" s="120"/>
      <c r="KXO88" s="120"/>
      <c r="KXP88" s="120"/>
      <c r="KXQ88" s="120"/>
      <c r="KXR88" s="120"/>
      <c r="KXS88" s="120"/>
      <c r="KXT88" s="120"/>
      <c r="KXU88" s="120"/>
      <c r="KXV88" s="120"/>
      <c r="KXW88" s="120"/>
      <c r="KXX88" s="120"/>
      <c r="KXY88" s="120"/>
      <c r="KXZ88" s="120"/>
      <c r="KYA88" s="120"/>
      <c r="KYB88" s="120"/>
      <c r="KYC88" s="120"/>
      <c r="KYD88" s="120"/>
      <c r="KYE88" s="120"/>
      <c r="KYF88" s="120"/>
      <c r="KYG88" s="120"/>
      <c r="KYH88" s="120"/>
      <c r="KYI88" s="120"/>
      <c r="KYJ88" s="120"/>
      <c r="KYK88" s="120"/>
      <c r="KYL88" s="120"/>
      <c r="KYM88" s="120"/>
      <c r="KYN88" s="120"/>
      <c r="KYO88" s="120"/>
      <c r="KYP88" s="120"/>
      <c r="KYQ88" s="120"/>
      <c r="KYR88" s="120"/>
      <c r="KYS88" s="120"/>
      <c r="KYT88" s="120"/>
      <c r="KYU88" s="120"/>
      <c r="KYV88" s="120"/>
      <c r="KYW88" s="120"/>
      <c r="KYX88" s="120"/>
      <c r="KYY88" s="120"/>
      <c r="KYZ88" s="120"/>
      <c r="KZA88" s="120"/>
      <c r="KZB88" s="120"/>
      <c r="KZC88" s="120"/>
      <c r="KZD88" s="120"/>
      <c r="KZE88" s="120"/>
      <c r="KZF88" s="120"/>
      <c r="KZG88" s="120"/>
      <c r="KZH88" s="120"/>
      <c r="KZI88" s="120"/>
      <c r="KZJ88" s="120"/>
      <c r="KZK88" s="120"/>
      <c r="KZL88" s="120"/>
      <c r="KZM88" s="120"/>
      <c r="KZN88" s="120"/>
      <c r="KZO88" s="120"/>
      <c r="KZP88" s="120"/>
      <c r="KZQ88" s="120"/>
      <c r="KZR88" s="120"/>
      <c r="KZS88" s="120"/>
      <c r="KZT88" s="120"/>
      <c r="KZU88" s="120"/>
      <c r="KZV88" s="120"/>
      <c r="KZW88" s="120"/>
      <c r="KZX88" s="120"/>
      <c r="KZY88" s="120"/>
      <c r="KZZ88" s="120"/>
      <c r="LAA88" s="120"/>
      <c r="LAB88" s="120"/>
      <c r="LAC88" s="120"/>
      <c r="LAD88" s="120"/>
      <c r="LAE88" s="120"/>
      <c r="LAF88" s="120"/>
      <c r="LAG88" s="120"/>
      <c r="LAH88" s="120"/>
      <c r="LAI88" s="120"/>
      <c r="LAJ88" s="120"/>
      <c r="LAK88" s="120"/>
      <c r="LAL88" s="120"/>
      <c r="LAM88" s="120"/>
      <c r="LAN88" s="120"/>
      <c r="LAO88" s="120"/>
      <c r="LAP88" s="120"/>
      <c r="LAQ88" s="120"/>
      <c r="LAR88" s="120"/>
      <c r="LAS88" s="120"/>
      <c r="LAT88" s="120"/>
      <c r="LAU88" s="120"/>
      <c r="LAV88" s="120"/>
      <c r="LAW88" s="120"/>
      <c r="LAX88" s="120"/>
      <c r="LAY88" s="120"/>
      <c r="LAZ88" s="120"/>
      <c r="LBA88" s="120"/>
      <c r="LBB88" s="120"/>
      <c r="LBC88" s="120"/>
      <c r="LBD88" s="120"/>
      <c r="LBE88" s="120"/>
      <c r="LBF88" s="120"/>
      <c r="LBG88" s="120"/>
      <c r="LBH88" s="120"/>
      <c r="LBI88" s="120"/>
      <c r="LBJ88" s="120"/>
      <c r="LBK88" s="120"/>
      <c r="LBL88" s="120"/>
      <c r="LBM88" s="120"/>
      <c r="LBN88" s="120"/>
      <c r="LBO88" s="120"/>
      <c r="LBP88" s="120"/>
      <c r="LBQ88" s="120"/>
      <c r="LBR88" s="120"/>
      <c r="LBS88" s="120"/>
      <c r="LBT88" s="120"/>
      <c r="LBU88" s="120"/>
      <c r="LBV88" s="120"/>
      <c r="LBW88" s="120"/>
      <c r="LBX88" s="120"/>
      <c r="LBY88" s="120"/>
      <c r="LBZ88" s="120"/>
      <c r="LCA88" s="120"/>
      <c r="LCB88" s="120"/>
      <c r="LCC88" s="120"/>
      <c r="LCD88" s="120"/>
      <c r="LCE88" s="120"/>
      <c r="LCF88" s="120"/>
      <c r="LCG88" s="120"/>
      <c r="LCH88" s="120"/>
      <c r="LCI88" s="120"/>
      <c r="LCJ88" s="120"/>
      <c r="LCK88" s="120"/>
      <c r="LCL88" s="120"/>
      <c r="LCM88" s="120"/>
      <c r="LCN88" s="120"/>
      <c r="LCO88" s="120"/>
      <c r="LCP88" s="120"/>
      <c r="LCQ88" s="120"/>
      <c r="LCR88" s="120"/>
      <c r="LCS88" s="120"/>
      <c r="LCT88" s="120"/>
      <c r="LCU88" s="120"/>
      <c r="LCV88" s="120"/>
      <c r="LCW88" s="120"/>
      <c r="LCX88" s="120"/>
      <c r="LCY88" s="120"/>
      <c r="LCZ88" s="120"/>
      <c r="LDA88" s="120"/>
      <c r="LDB88" s="120"/>
      <c r="LDC88" s="120"/>
      <c r="LDD88" s="120"/>
      <c r="LDE88" s="120"/>
      <c r="LDF88" s="120"/>
      <c r="LDG88" s="120"/>
      <c r="LDH88" s="120"/>
      <c r="LDI88" s="120"/>
      <c r="LDJ88" s="120"/>
      <c r="LDK88" s="120"/>
      <c r="LDL88" s="120"/>
      <c r="LDM88" s="120"/>
      <c r="LDN88" s="120"/>
      <c r="LDO88" s="120"/>
      <c r="LDP88" s="120"/>
      <c r="LDQ88" s="120"/>
      <c r="LDR88" s="120"/>
      <c r="LDS88" s="120"/>
      <c r="LDT88" s="120"/>
      <c r="LDU88" s="120"/>
      <c r="LDV88" s="120"/>
      <c r="LDW88" s="120"/>
      <c r="LDX88" s="120"/>
      <c r="LDY88" s="120"/>
      <c r="LDZ88" s="120"/>
      <c r="LEA88" s="120"/>
      <c r="LEB88" s="120"/>
      <c r="LEC88" s="120"/>
      <c r="LED88" s="120"/>
      <c r="LEE88" s="120"/>
      <c r="LEF88" s="120"/>
      <c r="LEG88" s="120"/>
      <c r="LEH88" s="120"/>
      <c r="LEI88" s="120"/>
      <c r="LEJ88" s="120"/>
      <c r="LEK88" s="120"/>
      <c r="LEL88" s="120"/>
      <c r="LEM88" s="120"/>
      <c r="LEN88" s="120"/>
      <c r="LEO88" s="120"/>
      <c r="LEP88" s="120"/>
      <c r="LEQ88" s="120"/>
      <c r="LER88" s="120"/>
      <c r="LES88" s="120"/>
      <c r="LET88" s="120"/>
      <c r="LEU88" s="120"/>
      <c r="LEV88" s="120"/>
      <c r="LEW88" s="120"/>
      <c r="LEX88" s="120"/>
      <c r="LEY88" s="120"/>
      <c r="LEZ88" s="120"/>
      <c r="LFA88" s="120"/>
      <c r="LFB88" s="120"/>
      <c r="LFC88" s="120"/>
      <c r="LFD88" s="120"/>
      <c r="LFE88" s="120"/>
      <c r="LFF88" s="120"/>
      <c r="LFG88" s="120"/>
      <c r="LFH88" s="120"/>
      <c r="LFI88" s="120"/>
      <c r="LFJ88" s="120"/>
      <c r="LFK88" s="120"/>
      <c r="LFL88" s="120"/>
      <c r="LFM88" s="120"/>
      <c r="LFN88" s="120"/>
      <c r="LFO88" s="120"/>
      <c r="LFP88" s="120"/>
      <c r="LFQ88" s="120"/>
      <c r="LFR88" s="120"/>
      <c r="LFS88" s="120"/>
      <c r="LFT88" s="120"/>
      <c r="LFU88" s="120"/>
      <c r="LFV88" s="120"/>
      <c r="LFW88" s="120"/>
      <c r="LFX88" s="120"/>
      <c r="LFY88" s="120"/>
      <c r="LFZ88" s="120"/>
      <c r="LGA88" s="120"/>
      <c r="LGB88" s="120"/>
      <c r="LGC88" s="120"/>
      <c r="LGD88" s="120"/>
      <c r="LGE88" s="120"/>
      <c r="LGF88" s="120"/>
      <c r="LGG88" s="120"/>
      <c r="LGH88" s="120"/>
      <c r="LGI88" s="120"/>
      <c r="LGJ88" s="120"/>
      <c r="LGK88" s="120"/>
      <c r="LGL88" s="120"/>
      <c r="LGM88" s="120"/>
      <c r="LGN88" s="120"/>
      <c r="LGO88" s="120"/>
      <c r="LGP88" s="120"/>
      <c r="LGQ88" s="120"/>
      <c r="LGR88" s="120"/>
      <c r="LGS88" s="120"/>
      <c r="LGT88" s="120"/>
      <c r="LGU88" s="120"/>
      <c r="LGV88" s="120"/>
      <c r="LGW88" s="120"/>
      <c r="LGX88" s="120"/>
      <c r="LGY88" s="120"/>
      <c r="LGZ88" s="120"/>
      <c r="LHA88" s="120"/>
      <c r="LHB88" s="120"/>
      <c r="LHC88" s="120"/>
      <c r="LHD88" s="120"/>
      <c r="LHE88" s="120"/>
      <c r="LHF88" s="120"/>
      <c r="LHG88" s="120"/>
      <c r="LHH88" s="120"/>
      <c r="LHI88" s="120"/>
      <c r="LHJ88" s="120"/>
      <c r="LHK88" s="120"/>
      <c r="LHL88" s="120"/>
      <c r="LHM88" s="120"/>
      <c r="LHN88" s="120"/>
      <c r="LHO88" s="120"/>
      <c r="LHP88" s="120"/>
      <c r="LHQ88" s="120"/>
      <c r="LHR88" s="120"/>
      <c r="LHS88" s="120"/>
      <c r="LHT88" s="120"/>
      <c r="LHU88" s="120"/>
      <c r="LHV88" s="120"/>
      <c r="LHW88" s="120"/>
      <c r="LHX88" s="120"/>
      <c r="LHY88" s="120"/>
      <c r="LHZ88" s="120"/>
      <c r="LIA88" s="120"/>
      <c r="LIB88" s="120"/>
      <c r="LIC88" s="120"/>
      <c r="LID88" s="120"/>
      <c r="LIE88" s="120"/>
      <c r="LIF88" s="120"/>
      <c r="LIG88" s="120"/>
      <c r="LIH88" s="120"/>
      <c r="LII88" s="120"/>
      <c r="LIJ88" s="120"/>
      <c r="LIK88" s="120"/>
      <c r="LIL88" s="120"/>
      <c r="LIM88" s="120"/>
      <c r="LIN88" s="120"/>
      <c r="LIO88" s="120"/>
      <c r="LIP88" s="120"/>
      <c r="LIQ88" s="120"/>
      <c r="LIR88" s="120"/>
      <c r="LIS88" s="120"/>
      <c r="LIT88" s="120"/>
      <c r="LIU88" s="120"/>
      <c r="LIV88" s="120"/>
      <c r="LIW88" s="120"/>
      <c r="LIX88" s="120"/>
      <c r="LIY88" s="120"/>
      <c r="LIZ88" s="120"/>
      <c r="LJA88" s="120"/>
      <c r="LJB88" s="120"/>
      <c r="LJC88" s="120"/>
      <c r="LJD88" s="120"/>
      <c r="LJE88" s="120"/>
      <c r="LJF88" s="120"/>
      <c r="LJG88" s="120"/>
      <c r="LJH88" s="120"/>
      <c r="LJI88" s="120"/>
      <c r="LJJ88" s="120"/>
      <c r="LJK88" s="120"/>
      <c r="LJL88" s="120"/>
      <c r="LJM88" s="120"/>
      <c r="LJN88" s="120"/>
      <c r="LJO88" s="120"/>
      <c r="LJP88" s="120"/>
      <c r="LJQ88" s="120"/>
      <c r="LJR88" s="120"/>
      <c r="LJS88" s="120"/>
      <c r="LJT88" s="120"/>
      <c r="LJU88" s="120"/>
      <c r="LJV88" s="120"/>
      <c r="LJW88" s="120"/>
      <c r="LJX88" s="120"/>
      <c r="LJY88" s="120"/>
      <c r="LJZ88" s="120"/>
      <c r="LKA88" s="120"/>
      <c r="LKB88" s="120"/>
      <c r="LKC88" s="120"/>
      <c r="LKD88" s="120"/>
      <c r="LKE88" s="120"/>
      <c r="LKF88" s="120"/>
      <c r="LKG88" s="120"/>
      <c r="LKH88" s="120"/>
      <c r="LKI88" s="120"/>
      <c r="LKJ88" s="120"/>
      <c r="LKK88" s="120"/>
      <c r="LKL88" s="120"/>
      <c r="LKM88" s="120"/>
      <c r="LKN88" s="120"/>
      <c r="LKO88" s="120"/>
      <c r="LKP88" s="120"/>
      <c r="LKQ88" s="120"/>
      <c r="LKR88" s="120"/>
      <c r="LKS88" s="120"/>
      <c r="LKT88" s="120"/>
      <c r="LKU88" s="120"/>
      <c r="LKV88" s="120"/>
      <c r="LKW88" s="120"/>
      <c r="LKX88" s="120"/>
      <c r="LKY88" s="120"/>
      <c r="LKZ88" s="120"/>
      <c r="LLA88" s="120"/>
      <c r="LLB88" s="120"/>
      <c r="LLC88" s="120"/>
      <c r="LLD88" s="120"/>
      <c r="LLE88" s="120"/>
      <c r="LLF88" s="120"/>
      <c r="LLG88" s="120"/>
      <c r="LLH88" s="120"/>
      <c r="LLI88" s="120"/>
      <c r="LLJ88" s="120"/>
      <c r="LLK88" s="120"/>
      <c r="LLL88" s="120"/>
      <c r="LLM88" s="120"/>
      <c r="LLN88" s="120"/>
      <c r="LLO88" s="120"/>
      <c r="LLP88" s="120"/>
      <c r="LLQ88" s="120"/>
      <c r="LLR88" s="120"/>
      <c r="LLS88" s="120"/>
      <c r="LLT88" s="120"/>
      <c r="LLU88" s="120"/>
      <c r="LLV88" s="120"/>
      <c r="LLW88" s="120"/>
      <c r="LLX88" s="120"/>
      <c r="LLY88" s="120"/>
      <c r="LLZ88" s="120"/>
      <c r="LMA88" s="120"/>
      <c r="LMB88" s="120"/>
      <c r="LMC88" s="120"/>
      <c r="LMD88" s="120"/>
      <c r="LME88" s="120"/>
      <c r="LMF88" s="120"/>
      <c r="LMG88" s="120"/>
      <c r="LMH88" s="120"/>
      <c r="LMI88" s="120"/>
      <c r="LMJ88" s="120"/>
      <c r="LMK88" s="120"/>
      <c r="LML88" s="120"/>
      <c r="LMM88" s="120"/>
      <c r="LMN88" s="120"/>
      <c r="LMO88" s="120"/>
      <c r="LMP88" s="120"/>
      <c r="LMQ88" s="120"/>
      <c r="LMR88" s="120"/>
      <c r="LMS88" s="120"/>
      <c r="LMT88" s="120"/>
      <c r="LMU88" s="120"/>
      <c r="LMV88" s="120"/>
      <c r="LMW88" s="120"/>
      <c r="LMX88" s="120"/>
      <c r="LMY88" s="120"/>
      <c r="LMZ88" s="120"/>
      <c r="LNA88" s="120"/>
      <c r="LNB88" s="120"/>
      <c r="LNC88" s="120"/>
      <c r="LND88" s="120"/>
      <c r="LNE88" s="120"/>
      <c r="LNF88" s="120"/>
      <c r="LNG88" s="120"/>
      <c r="LNH88" s="120"/>
      <c r="LNI88" s="120"/>
      <c r="LNJ88" s="120"/>
      <c r="LNK88" s="120"/>
      <c r="LNL88" s="120"/>
      <c r="LNM88" s="120"/>
      <c r="LNN88" s="120"/>
      <c r="LNO88" s="120"/>
      <c r="LNP88" s="120"/>
      <c r="LNQ88" s="120"/>
      <c r="LNR88" s="120"/>
      <c r="LNS88" s="120"/>
      <c r="LNT88" s="120"/>
      <c r="LNU88" s="120"/>
      <c r="LNV88" s="120"/>
      <c r="LNW88" s="120"/>
      <c r="LNX88" s="120"/>
      <c r="LNY88" s="120"/>
      <c r="LNZ88" s="120"/>
      <c r="LOA88" s="120"/>
      <c r="LOB88" s="120"/>
      <c r="LOC88" s="120"/>
      <c r="LOD88" s="120"/>
      <c r="LOE88" s="120"/>
      <c r="LOF88" s="120"/>
      <c r="LOG88" s="120"/>
      <c r="LOH88" s="120"/>
      <c r="LOI88" s="120"/>
      <c r="LOJ88" s="120"/>
      <c r="LOK88" s="120"/>
      <c r="LOL88" s="120"/>
      <c r="LOM88" s="120"/>
      <c r="LON88" s="120"/>
      <c r="LOO88" s="120"/>
      <c r="LOP88" s="120"/>
      <c r="LOQ88" s="120"/>
      <c r="LOR88" s="120"/>
      <c r="LOS88" s="120"/>
      <c r="LOT88" s="120"/>
      <c r="LOU88" s="120"/>
      <c r="LOV88" s="120"/>
      <c r="LOW88" s="120"/>
      <c r="LOX88" s="120"/>
      <c r="LOY88" s="120"/>
      <c r="LOZ88" s="120"/>
      <c r="LPA88" s="120"/>
      <c r="LPB88" s="120"/>
      <c r="LPC88" s="120"/>
      <c r="LPD88" s="120"/>
      <c r="LPE88" s="120"/>
      <c r="LPF88" s="120"/>
      <c r="LPG88" s="120"/>
      <c r="LPH88" s="120"/>
      <c r="LPI88" s="120"/>
      <c r="LPJ88" s="120"/>
      <c r="LPK88" s="120"/>
      <c r="LPL88" s="120"/>
      <c r="LPM88" s="120"/>
      <c r="LPN88" s="120"/>
      <c r="LPO88" s="120"/>
      <c r="LPP88" s="120"/>
      <c r="LPQ88" s="120"/>
      <c r="LPR88" s="120"/>
      <c r="LPS88" s="120"/>
      <c r="LPT88" s="120"/>
      <c r="LPU88" s="120"/>
      <c r="LPV88" s="120"/>
      <c r="LPW88" s="120"/>
      <c r="LPX88" s="120"/>
      <c r="LPY88" s="120"/>
      <c r="LPZ88" s="120"/>
      <c r="LQA88" s="120"/>
      <c r="LQB88" s="120"/>
      <c r="LQC88" s="120"/>
      <c r="LQD88" s="120"/>
      <c r="LQE88" s="120"/>
      <c r="LQF88" s="120"/>
      <c r="LQG88" s="120"/>
      <c r="LQH88" s="120"/>
      <c r="LQI88" s="120"/>
      <c r="LQJ88" s="120"/>
      <c r="LQK88" s="120"/>
      <c r="LQL88" s="120"/>
      <c r="LQM88" s="120"/>
      <c r="LQN88" s="120"/>
      <c r="LQO88" s="120"/>
      <c r="LQP88" s="120"/>
      <c r="LQQ88" s="120"/>
      <c r="LQR88" s="120"/>
      <c r="LQS88" s="120"/>
      <c r="LQT88" s="120"/>
      <c r="LQU88" s="120"/>
      <c r="LQV88" s="120"/>
      <c r="LQW88" s="120"/>
      <c r="LQX88" s="120"/>
      <c r="LQY88" s="120"/>
      <c r="LQZ88" s="120"/>
      <c r="LRA88" s="120"/>
      <c r="LRB88" s="120"/>
      <c r="LRC88" s="120"/>
      <c r="LRD88" s="120"/>
      <c r="LRE88" s="120"/>
      <c r="LRF88" s="120"/>
      <c r="LRG88" s="120"/>
      <c r="LRH88" s="120"/>
      <c r="LRI88" s="120"/>
      <c r="LRJ88" s="120"/>
      <c r="LRK88" s="120"/>
      <c r="LRL88" s="120"/>
      <c r="LRM88" s="120"/>
      <c r="LRN88" s="120"/>
      <c r="LRO88" s="120"/>
      <c r="LRP88" s="120"/>
      <c r="LRQ88" s="120"/>
      <c r="LRR88" s="120"/>
      <c r="LRS88" s="120"/>
      <c r="LRT88" s="120"/>
      <c r="LRU88" s="120"/>
      <c r="LRV88" s="120"/>
      <c r="LRW88" s="120"/>
      <c r="LRX88" s="120"/>
      <c r="LRY88" s="120"/>
      <c r="LRZ88" s="120"/>
      <c r="LSA88" s="120"/>
      <c r="LSB88" s="120"/>
      <c r="LSC88" s="120"/>
      <c r="LSD88" s="120"/>
      <c r="LSE88" s="120"/>
      <c r="LSF88" s="120"/>
      <c r="LSG88" s="120"/>
      <c r="LSH88" s="120"/>
      <c r="LSI88" s="120"/>
      <c r="LSJ88" s="120"/>
      <c r="LSK88" s="120"/>
      <c r="LSL88" s="120"/>
      <c r="LSM88" s="120"/>
      <c r="LSN88" s="120"/>
      <c r="LSO88" s="120"/>
      <c r="LSP88" s="120"/>
      <c r="LSQ88" s="120"/>
      <c r="LSR88" s="120"/>
      <c r="LSS88" s="120"/>
      <c r="LST88" s="120"/>
      <c r="LSU88" s="120"/>
      <c r="LSV88" s="120"/>
      <c r="LSW88" s="120"/>
      <c r="LSX88" s="120"/>
      <c r="LSY88" s="120"/>
      <c r="LSZ88" s="120"/>
      <c r="LTA88" s="120"/>
      <c r="LTB88" s="120"/>
      <c r="LTC88" s="120"/>
      <c r="LTD88" s="120"/>
      <c r="LTE88" s="120"/>
      <c r="LTF88" s="120"/>
      <c r="LTG88" s="120"/>
      <c r="LTH88" s="120"/>
      <c r="LTI88" s="120"/>
      <c r="LTJ88" s="120"/>
      <c r="LTK88" s="120"/>
      <c r="LTL88" s="120"/>
      <c r="LTM88" s="120"/>
      <c r="LTN88" s="120"/>
      <c r="LTO88" s="120"/>
      <c r="LTP88" s="120"/>
      <c r="LTQ88" s="120"/>
      <c r="LTR88" s="120"/>
      <c r="LTS88" s="120"/>
      <c r="LTT88" s="120"/>
      <c r="LTU88" s="120"/>
      <c r="LTV88" s="120"/>
      <c r="LTW88" s="120"/>
      <c r="LTX88" s="120"/>
      <c r="LTY88" s="120"/>
      <c r="LTZ88" s="120"/>
      <c r="LUA88" s="120"/>
      <c r="LUB88" s="120"/>
      <c r="LUC88" s="120"/>
      <c r="LUD88" s="120"/>
      <c r="LUE88" s="120"/>
      <c r="LUF88" s="120"/>
      <c r="LUG88" s="120"/>
      <c r="LUH88" s="120"/>
      <c r="LUI88" s="120"/>
      <c r="LUJ88" s="120"/>
      <c r="LUK88" s="120"/>
      <c r="LUL88" s="120"/>
      <c r="LUM88" s="120"/>
      <c r="LUN88" s="120"/>
      <c r="LUO88" s="120"/>
      <c r="LUP88" s="120"/>
      <c r="LUQ88" s="120"/>
      <c r="LUR88" s="120"/>
      <c r="LUS88" s="120"/>
      <c r="LUT88" s="120"/>
      <c r="LUU88" s="120"/>
      <c r="LUV88" s="120"/>
      <c r="LUW88" s="120"/>
      <c r="LUX88" s="120"/>
      <c r="LUY88" s="120"/>
      <c r="LUZ88" s="120"/>
      <c r="LVA88" s="120"/>
      <c r="LVB88" s="120"/>
      <c r="LVC88" s="120"/>
      <c r="LVD88" s="120"/>
      <c r="LVE88" s="120"/>
      <c r="LVF88" s="120"/>
      <c r="LVG88" s="120"/>
      <c r="LVH88" s="120"/>
      <c r="LVI88" s="120"/>
      <c r="LVJ88" s="120"/>
      <c r="LVK88" s="120"/>
      <c r="LVL88" s="120"/>
      <c r="LVM88" s="120"/>
      <c r="LVN88" s="120"/>
      <c r="LVO88" s="120"/>
      <c r="LVP88" s="120"/>
      <c r="LVQ88" s="120"/>
      <c r="LVR88" s="120"/>
      <c r="LVS88" s="120"/>
      <c r="LVT88" s="120"/>
      <c r="LVU88" s="120"/>
      <c r="LVV88" s="120"/>
      <c r="LVW88" s="120"/>
      <c r="LVX88" s="120"/>
      <c r="LVY88" s="120"/>
      <c r="LVZ88" s="120"/>
      <c r="LWA88" s="120"/>
      <c r="LWB88" s="120"/>
      <c r="LWC88" s="120"/>
      <c r="LWD88" s="120"/>
      <c r="LWE88" s="120"/>
      <c r="LWF88" s="120"/>
      <c r="LWG88" s="120"/>
      <c r="LWH88" s="120"/>
      <c r="LWI88" s="120"/>
      <c r="LWJ88" s="120"/>
      <c r="LWK88" s="120"/>
      <c r="LWL88" s="120"/>
      <c r="LWM88" s="120"/>
      <c r="LWN88" s="120"/>
      <c r="LWO88" s="120"/>
      <c r="LWP88" s="120"/>
      <c r="LWQ88" s="120"/>
      <c r="LWR88" s="120"/>
      <c r="LWS88" s="120"/>
      <c r="LWT88" s="120"/>
      <c r="LWU88" s="120"/>
      <c r="LWV88" s="120"/>
      <c r="LWW88" s="120"/>
      <c r="LWX88" s="120"/>
      <c r="LWY88" s="120"/>
      <c r="LWZ88" s="120"/>
      <c r="LXA88" s="120"/>
      <c r="LXB88" s="120"/>
      <c r="LXC88" s="120"/>
      <c r="LXD88" s="120"/>
      <c r="LXE88" s="120"/>
      <c r="LXF88" s="120"/>
      <c r="LXG88" s="120"/>
      <c r="LXH88" s="120"/>
      <c r="LXI88" s="120"/>
      <c r="LXJ88" s="120"/>
      <c r="LXK88" s="120"/>
      <c r="LXL88" s="120"/>
      <c r="LXM88" s="120"/>
      <c r="LXN88" s="120"/>
      <c r="LXO88" s="120"/>
      <c r="LXP88" s="120"/>
      <c r="LXQ88" s="120"/>
      <c r="LXR88" s="120"/>
      <c r="LXS88" s="120"/>
      <c r="LXT88" s="120"/>
      <c r="LXU88" s="120"/>
      <c r="LXV88" s="120"/>
      <c r="LXW88" s="120"/>
      <c r="LXX88" s="120"/>
      <c r="LXY88" s="120"/>
      <c r="LXZ88" s="120"/>
      <c r="LYA88" s="120"/>
      <c r="LYB88" s="120"/>
      <c r="LYC88" s="120"/>
      <c r="LYD88" s="120"/>
      <c r="LYE88" s="120"/>
      <c r="LYF88" s="120"/>
      <c r="LYG88" s="120"/>
      <c r="LYH88" s="120"/>
      <c r="LYI88" s="120"/>
      <c r="LYJ88" s="120"/>
      <c r="LYK88" s="120"/>
      <c r="LYL88" s="120"/>
      <c r="LYM88" s="120"/>
      <c r="LYN88" s="120"/>
      <c r="LYO88" s="120"/>
      <c r="LYP88" s="120"/>
      <c r="LYQ88" s="120"/>
      <c r="LYR88" s="120"/>
      <c r="LYS88" s="120"/>
      <c r="LYT88" s="120"/>
      <c r="LYU88" s="120"/>
      <c r="LYV88" s="120"/>
      <c r="LYW88" s="120"/>
      <c r="LYX88" s="120"/>
      <c r="LYY88" s="120"/>
      <c r="LYZ88" s="120"/>
      <c r="LZA88" s="120"/>
      <c r="LZB88" s="120"/>
      <c r="LZC88" s="120"/>
      <c r="LZD88" s="120"/>
      <c r="LZE88" s="120"/>
      <c r="LZF88" s="120"/>
      <c r="LZG88" s="120"/>
      <c r="LZH88" s="120"/>
      <c r="LZI88" s="120"/>
      <c r="LZJ88" s="120"/>
      <c r="LZK88" s="120"/>
      <c r="LZL88" s="120"/>
      <c r="LZM88" s="120"/>
      <c r="LZN88" s="120"/>
      <c r="LZO88" s="120"/>
      <c r="LZP88" s="120"/>
      <c r="LZQ88" s="120"/>
      <c r="LZR88" s="120"/>
      <c r="LZS88" s="120"/>
      <c r="LZT88" s="120"/>
      <c r="LZU88" s="120"/>
      <c r="LZV88" s="120"/>
      <c r="LZW88" s="120"/>
      <c r="LZX88" s="120"/>
      <c r="LZY88" s="120"/>
      <c r="LZZ88" s="120"/>
      <c r="MAA88" s="120"/>
      <c r="MAB88" s="120"/>
      <c r="MAC88" s="120"/>
      <c r="MAD88" s="120"/>
      <c r="MAE88" s="120"/>
      <c r="MAF88" s="120"/>
      <c r="MAG88" s="120"/>
      <c r="MAH88" s="120"/>
      <c r="MAI88" s="120"/>
      <c r="MAJ88" s="120"/>
      <c r="MAK88" s="120"/>
      <c r="MAL88" s="120"/>
      <c r="MAM88" s="120"/>
      <c r="MAN88" s="120"/>
      <c r="MAO88" s="120"/>
      <c r="MAP88" s="120"/>
      <c r="MAQ88" s="120"/>
      <c r="MAR88" s="120"/>
      <c r="MAS88" s="120"/>
      <c r="MAT88" s="120"/>
      <c r="MAU88" s="120"/>
      <c r="MAV88" s="120"/>
      <c r="MAW88" s="120"/>
      <c r="MAX88" s="120"/>
      <c r="MAY88" s="120"/>
      <c r="MAZ88" s="120"/>
      <c r="MBA88" s="120"/>
      <c r="MBB88" s="120"/>
      <c r="MBC88" s="120"/>
      <c r="MBD88" s="120"/>
      <c r="MBE88" s="120"/>
      <c r="MBF88" s="120"/>
      <c r="MBG88" s="120"/>
      <c r="MBH88" s="120"/>
      <c r="MBI88" s="120"/>
      <c r="MBJ88" s="120"/>
      <c r="MBK88" s="120"/>
      <c r="MBL88" s="120"/>
      <c r="MBM88" s="120"/>
      <c r="MBN88" s="120"/>
      <c r="MBO88" s="120"/>
      <c r="MBP88" s="120"/>
      <c r="MBQ88" s="120"/>
      <c r="MBR88" s="120"/>
      <c r="MBS88" s="120"/>
      <c r="MBT88" s="120"/>
      <c r="MBU88" s="120"/>
      <c r="MBV88" s="120"/>
      <c r="MBW88" s="120"/>
      <c r="MBX88" s="120"/>
      <c r="MBY88" s="120"/>
      <c r="MBZ88" s="120"/>
      <c r="MCA88" s="120"/>
      <c r="MCB88" s="120"/>
      <c r="MCC88" s="120"/>
      <c r="MCD88" s="120"/>
      <c r="MCE88" s="120"/>
      <c r="MCF88" s="120"/>
      <c r="MCG88" s="120"/>
      <c r="MCH88" s="120"/>
      <c r="MCI88" s="120"/>
      <c r="MCJ88" s="120"/>
      <c r="MCK88" s="120"/>
      <c r="MCL88" s="120"/>
      <c r="MCM88" s="120"/>
      <c r="MCN88" s="120"/>
      <c r="MCO88" s="120"/>
      <c r="MCP88" s="120"/>
      <c r="MCQ88" s="120"/>
      <c r="MCR88" s="120"/>
      <c r="MCS88" s="120"/>
      <c r="MCT88" s="120"/>
      <c r="MCU88" s="120"/>
      <c r="MCV88" s="120"/>
      <c r="MCW88" s="120"/>
      <c r="MCX88" s="120"/>
      <c r="MCY88" s="120"/>
      <c r="MCZ88" s="120"/>
      <c r="MDA88" s="120"/>
      <c r="MDB88" s="120"/>
      <c r="MDC88" s="120"/>
      <c r="MDD88" s="120"/>
      <c r="MDE88" s="120"/>
      <c r="MDF88" s="120"/>
      <c r="MDG88" s="120"/>
      <c r="MDH88" s="120"/>
      <c r="MDI88" s="120"/>
      <c r="MDJ88" s="120"/>
      <c r="MDK88" s="120"/>
      <c r="MDL88" s="120"/>
      <c r="MDM88" s="120"/>
      <c r="MDN88" s="120"/>
      <c r="MDO88" s="120"/>
      <c r="MDP88" s="120"/>
      <c r="MDQ88" s="120"/>
      <c r="MDR88" s="120"/>
      <c r="MDS88" s="120"/>
      <c r="MDT88" s="120"/>
      <c r="MDU88" s="120"/>
      <c r="MDV88" s="120"/>
      <c r="MDW88" s="120"/>
      <c r="MDX88" s="120"/>
      <c r="MDY88" s="120"/>
      <c r="MDZ88" s="120"/>
      <c r="MEA88" s="120"/>
      <c r="MEB88" s="120"/>
      <c r="MEC88" s="120"/>
      <c r="MED88" s="120"/>
      <c r="MEE88" s="120"/>
      <c r="MEF88" s="120"/>
      <c r="MEG88" s="120"/>
      <c r="MEH88" s="120"/>
      <c r="MEI88" s="120"/>
      <c r="MEJ88" s="120"/>
      <c r="MEK88" s="120"/>
      <c r="MEL88" s="120"/>
      <c r="MEM88" s="120"/>
      <c r="MEN88" s="120"/>
      <c r="MEO88" s="120"/>
      <c r="MEP88" s="120"/>
      <c r="MEQ88" s="120"/>
      <c r="MER88" s="120"/>
      <c r="MES88" s="120"/>
      <c r="MET88" s="120"/>
      <c r="MEU88" s="120"/>
      <c r="MEV88" s="120"/>
      <c r="MEW88" s="120"/>
      <c r="MEX88" s="120"/>
      <c r="MEY88" s="120"/>
      <c r="MEZ88" s="120"/>
      <c r="MFA88" s="120"/>
      <c r="MFB88" s="120"/>
      <c r="MFC88" s="120"/>
      <c r="MFD88" s="120"/>
      <c r="MFE88" s="120"/>
      <c r="MFF88" s="120"/>
      <c r="MFG88" s="120"/>
      <c r="MFH88" s="120"/>
      <c r="MFI88" s="120"/>
      <c r="MFJ88" s="120"/>
      <c r="MFK88" s="120"/>
      <c r="MFL88" s="120"/>
      <c r="MFM88" s="120"/>
      <c r="MFN88" s="120"/>
      <c r="MFO88" s="120"/>
      <c r="MFP88" s="120"/>
      <c r="MFQ88" s="120"/>
      <c r="MFR88" s="120"/>
      <c r="MFS88" s="120"/>
      <c r="MFT88" s="120"/>
      <c r="MFU88" s="120"/>
      <c r="MFV88" s="120"/>
      <c r="MFW88" s="120"/>
      <c r="MFX88" s="120"/>
      <c r="MFY88" s="120"/>
      <c r="MFZ88" s="120"/>
      <c r="MGA88" s="120"/>
      <c r="MGB88" s="120"/>
      <c r="MGC88" s="120"/>
      <c r="MGD88" s="120"/>
      <c r="MGE88" s="120"/>
      <c r="MGF88" s="120"/>
      <c r="MGG88" s="120"/>
      <c r="MGH88" s="120"/>
      <c r="MGI88" s="120"/>
      <c r="MGJ88" s="120"/>
      <c r="MGK88" s="120"/>
      <c r="MGL88" s="120"/>
      <c r="MGM88" s="120"/>
      <c r="MGN88" s="120"/>
      <c r="MGO88" s="120"/>
      <c r="MGP88" s="120"/>
      <c r="MGQ88" s="120"/>
      <c r="MGR88" s="120"/>
      <c r="MGS88" s="120"/>
      <c r="MGT88" s="120"/>
      <c r="MGU88" s="120"/>
      <c r="MGV88" s="120"/>
      <c r="MGW88" s="120"/>
      <c r="MGX88" s="120"/>
      <c r="MGY88" s="120"/>
      <c r="MGZ88" s="120"/>
      <c r="MHA88" s="120"/>
      <c r="MHB88" s="120"/>
      <c r="MHC88" s="120"/>
      <c r="MHD88" s="120"/>
      <c r="MHE88" s="120"/>
      <c r="MHF88" s="120"/>
      <c r="MHG88" s="120"/>
      <c r="MHH88" s="120"/>
      <c r="MHI88" s="120"/>
      <c r="MHJ88" s="120"/>
      <c r="MHK88" s="120"/>
      <c r="MHL88" s="120"/>
      <c r="MHM88" s="120"/>
      <c r="MHN88" s="120"/>
      <c r="MHO88" s="120"/>
      <c r="MHP88" s="120"/>
      <c r="MHQ88" s="120"/>
      <c r="MHR88" s="120"/>
      <c r="MHS88" s="120"/>
      <c r="MHT88" s="120"/>
      <c r="MHU88" s="120"/>
      <c r="MHV88" s="120"/>
      <c r="MHW88" s="120"/>
      <c r="MHX88" s="120"/>
      <c r="MHY88" s="120"/>
      <c r="MHZ88" s="120"/>
      <c r="MIA88" s="120"/>
      <c r="MIB88" s="120"/>
      <c r="MIC88" s="120"/>
      <c r="MID88" s="120"/>
      <c r="MIE88" s="120"/>
      <c r="MIF88" s="120"/>
      <c r="MIG88" s="120"/>
      <c r="MIH88" s="120"/>
      <c r="MII88" s="120"/>
      <c r="MIJ88" s="120"/>
      <c r="MIK88" s="120"/>
      <c r="MIL88" s="120"/>
      <c r="MIM88" s="120"/>
      <c r="MIN88" s="120"/>
      <c r="MIO88" s="120"/>
      <c r="MIP88" s="120"/>
      <c r="MIQ88" s="120"/>
      <c r="MIR88" s="120"/>
      <c r="MIS88" s="120"/>
      <c r="MIT88" s="120"/>
      <c r="MIU88" s="120"/>
      <c r="MIV88" s="120"/>
      <c r="MIW88" s="120"/>
      <c r="MIX88" s="120"/>
      <c r="MIY88" s="120"/>
      <c r="MIZ88" s="120"/>
      <c r="MJA88" s="120"/>
      <c r="MJB88" s="120"/>
      <c r="MJC88" s="120"/>
      <c r="MJD88" s="120"/>
      <c r="MJE88" s="120"/>
      <c r="MJF88" s="120"/>
      <c r="MJG88" s="120"/>
      <c r="MJH88" s="120"/>
      <c r="MJI88" s="120"/>
      <c r="MJJ88" s="120"/>
      <c r="MJK88" s="120"/>
      <c r="MJL88" s="120"/>
      <c r="MJM88" s="120"/>
      <c r="MJN88" s="120"/>
      <c r="MJO88" s="120"/>
      <c r="MJP88" s="120"/>
      <c r="MJQ88" s="120"/>
      <c r="MJR88" s="120"/>
      <c r="MJS88" s="120"/>
      <c r="MJT88" s="120"/>
      <c r="MJU88" s="120"/>
      <c r="MJV88" s="120"/>
      <c r="MJW88" s="120"/>
      <c r="MJX88" s="120"/>
      <c r="MJY88" s="120"/>
      <c r="MJZ88" s="120"/>
      <c r="MKA88" s="120"/>
      <c r="MKB88" s="120"/>
      <c r="MKC88" s="120"/>
      <c r="MKD88" s="120"/>
      <c r="MKE88" s="120"/>
      <c r="MKF88" s="120"/>
      <c r="MKG88" s="120"/>
      <c r="MKH88" s="120"/>
      <c r="MKI88" s="120"/>
      <c r="MKJ88" s="120"/>
      <c r="MKK88" s="120"/>
      <c r="MKL88" s="120"/>
      <c r="MKM88" s="120"/>
      <c r="MKN88" s="120"/>
      <c r="MKO88" s="120"/>
      <c r="MKP88" s="120"/>
      <c r="MKQ88" s="120"/>
      <c r="MKR88" s="120"/>
      <c r="MKS88" s="120"/>
      <c r="MKT88" s="120"/>
      <c r="MKU88" s="120"/>
      <c r="MKV88" s="120"/>
      <c r="MKW88" s="120"/>
      <c r="MKX88" s="120"/>
      <c r="MKY88" s="120"/>
      <c r="MKZ88" s="120"/>
      <c r="MLA88" s="120"/>
      <c r="MLB88" s="120"/>
      <c r="MLC88" s="120"/>
      <c r="MLD88" s="120"/>
      <c r="MLE88" s="120"/>
      <c r="MLF88" s="120"/>
      <c r="MLG88" s="120"/>
      <c r="MLH88" s="120"/>
      <c r="MLI88" s="120"/>
      <c r="MLJ88" s="120"/>
      <c r="MLK88" s="120"/>
      <c r="MLL88" s="120"/>
      <c r="MLM88" s="120"/>
      <c r="MLN88" s="120"/>
      <c r="MLO88" s="120"/>
      <c r="MLP88" s="120"/>
      <c r="MLQ88" s="120"/>
      <c r="MLR88" s="120"/>
      <c r="MLS88" s="120"/>
      <c r="MLT88" s="120"/>
      <c r="MLU88" s="120"/>
      <c r="MLV88" s="120"/>
      <c r="MLW88" s="120"/>
      <c r="MLX88" s="120"/>
      <c r="MLY88" s="120"/>
      <c r="MLZ88" s="120"/>
      <c r="MMA88" s="120"/>
      <c r="MMB88" s="120"/>
      <c r="MMC88" s="120"/>
      <c r="MMD88" s="120"/>
      <c r="MME88" s="120"/>
      <c r="MMF88" s="120"/>
      <c r="MMG88" s="120"/>
      <c r="MMH88" s="120"/>
      <c r="MMI88" s="120"/>
      <c r="MMJ88" s="120"/>
      <c r="MMK88" s="120"/>
      <c r="MML88" s="120"/>
      <c r="MMM88" s="120"/>
      <c r="MMN88" s="120"/>
      <c r="MMO88" s="120"/>
      <c r="MMP88" s="120"/>
      <c r="MMQ88" s="120"/>
      <c r="MMR88" s="120"/>
      <c r="MMS88" s="120"/>
      <c r="MMT88" s="120"/>
      <c r="MMU88" s="120"/>
      <c r="MMV88" s="120"/>
      <c r="MMW88" s="120"/>
      <c r="MMX88" s="120"/>
      <c r="MMY88" s="120"/>
      <c r="MMZ88" s="120"/>
      <c r="MNA88" s="120"/>
      <c r="MNB88" s="120"/>
      <c r="MNC88" s="120"/>
      <c r="MND88" s="120"/>
      <c r="MNE88" s="120"/>
      <c r="MNF88" s="120"/>
      <c r="MNG88" s="120"/>
      <c r="MNH88" s="120"/>
      <c r="MNI88" s="120"/>
      <c r="MNJ88" s="120"/>
      <c r="MNK88" s="120"/>
      <c r="MNL88" s="120"/>
      <c r="MNM88" s="120"/>
      <c r="MNN88" s="120"/>
      <c r="MNO88" s="120"/>
      <c r="MNP88" s="120"/>
      <c r="MNQ88" s="120"/>
      <c r="MNR88" s="120"/>
      <c r="MNS88" s="120"/>
      <c r="MNT88" s="120"/>
      <c r="MNU88" s="120"/>
      <c r="MNV88" s="120"/>
      <c r="MNW88" s="120"/>
      <c r="MNX88" s="120"/>
      <c r="MNY88" s="120"/>
      <c r="MNZ88" s="120"/>
      <c r="MOA88" s="120"/>
      <c r="MOB88" s="120"/>
      <c r="MOC88" s="120"/>
      <c r="MOD88" s="120"/>
      <c r="MOE88" s="120"/>
      <c r="MOF88" s="120"/>
      <c r="MOG88" s="120"/>
      <c r="MOH88" s="120"/>
      <c r="MOI88" s="120"/>
      <c r="MOJ88" s="120"/>
      <c r="MOK88" s="120"/>
      <c r="MOL88" s="120"/>
      <c r="MOM88" s="120"/>
      <c r="MON88" s="120"/>
      <c r="MOO88" s="120"/>
      <c r="MOP88" s="120"/>
      <c r="MOQ88" s="120"/>
      <c r="MOR88" s="120"/>
      <c r="MOS88" s="120"/>
      <c r="MOT88" s="120"/>
      <c r="MOU88" s="120"/>
      <c r="MOV88" s="120"/>
      <c r="MOW88" s="120"/>
      <c r="MOX88" s="120"/>
      <c r="MOY88" s="120"/>
      <c r="MOZ88" s="120"/>
      <c r="MPA88" s="120"/>
      <c r="MPB88" s="120"/>
      <c r="MPC88" s="120"/>
      <c r="MPD88" s="120"/>
      <c r="MPE88" s="120"/>
      <c r="MPF88" s="120"/>
      <c r="MPG88" s="120"/>
      <c r="MPH88" s="120"/>
      <c r="MPI88" s="120"/>
      <c r="MPJ88" s="120"/>
      <c r="MPK88" s="120"/>
      <c r="MPL88" s="120"/>
      <c r="MPM88" s="120"/>
      <c r="MPN88" s="120"/>
      <c r="MPO88" s="120"/>
      <c r="MPP88" s="120"/>
      <c r="MPQ88" s="120"/>
      <c r="MPR88" s="120"/>
      <c r="MPS88" s="120"/>
      <c r="MPT88" s="120"/>
      <c r="MPU88" s="120"/>
      <c r="MPV88" s="120"/>
      <c r="MPW88" s="120"/>
      <c r="MPX88" s="120"/>
      <c r="MPY88" s="120"/>
      <c r="MPZ88" s="120"/>
      <c r="MQA88" s="120"/>
      <c r="MQB88" s="120"/>
      <c r="MQC88" s="120"/>
      <c r="MQD88" s="120"/>
      <c r="MQE88" s="120"/>
      <c r="MQF88" s="120"/>
      <c r="MQG88" s="120"/>
      <c r="MQH88" s="120"/>
      <c r="MQI88" s="120"/>
      <c r="MQJ88" s="120"/>
      <c r="MQK88" s="120"/>
      <c r="MQL88" s="120"/>
      <c r="MQM88" s="120"/>
      <c r="MQN88" s="120"/>
      <c r="MQO88" s="120"/>
      <c r="MQP88" s="120"/>
      <c r="MQQ88" s="120"/>
      <c r="MQR88" s="120"/>
      <c r="MQS88" s="120"/>
      <c r="MQT88" s="120"/>
      <c r="MQU88" s="120"/>
      <c r="MQV88" s="120"/>
      <c r="MQW88" s="120"/>
      <c r="MQX88" s="120"/>
      <c r="MQY88" s="120"/>
      <c r="MQZ88" s="120"/>
      <c r="MRA88" s="120"/>
      <c r="MRB88" s="120"/>
      <c r="MRC88" s="120"/>
      <c r="MRD88" s="120"/>
      <c r="MRE88" s="120"/>
      <c r="MRF88" s="120"/>
      <c r="MRG88" s="120"/>
      <c r="MRH88" s="120"/>
      <c r="MRI88" s="120"/>
      <c r="MRJ88" s="120"/>
      <c r="MRK88" s="120"/>
      <c r="MRL88" s="120"/>
      <c r="MRM88" s="120"/>
      <c r="MRN88" s="120"/>
      <c r="MRO88" s="120"/>
      <c r="MRP88" s="120"/>
      <c r="MRQ88" s="120"/>
      <c r="MRR88" s="120"/>
      <c r="MRS88" s="120"/>
      <c r="MRT88" s="120"/>
      <c r="MRU88" s="120"/>
      <c r="MRV88" s="120"/>
      <c r="MRW88" s="120"/>
      <c r="MRX88" s="120"/>
      <c r="MRY88" s="120"/>
      <c r="MRZ88" s="120"/>
      <c r="MSA88" s="120"/>
      <c r="MSB88" s="120"/>
      <c r="MSC88" s="120"/>
      <c r="MSD88" s="120"/>
      <c r="MSE88" s="120"/>
      <c r="MSF88" s="120"/>
      <c r="MSG88" s="120"/>
      <c r="MSH88" s="120"/>
      <c r="MSI88" s="120"/>
      <c r="MSJ88" s="120"/>
      <c r="MSK88" s="120"/>
      <c r="MSL88" s="120"/>
      <c r="MSM88" s="120"/>
      <c r="MSN88" s="120"/>
      <c r="MSO88" s="120"/>
      <c r="MSP88" s="120"/>
      <c r="MSQ88" s="120"/>
      <c r="MSR88" s="120"/>
      <c r="MSS88" s="120"/>
      <c r="MST88" s="120"/>
      <c r="MSU88" s="120"/>
      <c r="MSV88" s="120"/>
      <c r="MSW88" s="120"/>
      <c r="MSX88" s="120"/>
      <c r="MSY88" s="120"/>
      <c r="MSZ88" s="120"/>
      <c r="MTA88" s="120"/>
      <c r="MTB88" s="120"/>
      <c r="MTC88" s="120"/>
      <c r="MTD88" s="120"/>
      <c r="MTE88" s="120"/>
      <c r="MTF88" s="120"/>
      <c r="MTG88" s="120"/>
      <c r="MTH88" s="120"/>
      <c r="MTI88" s="120"/>
      <c r="MTJ88" s="120"/>
      <c r="MTK88" s="120"/>
      <c r="MTL88" s="120"/>
      <c r="MTM88" s="120"/>
      <c r="MTN88" s="120"/>
      <c r="MTO88" s="120"/>
      <c r="MTP88" s="120"/>
      <c r="MTQ88" s="120"/>
      <c r="MTR88" s="120"/>
      <c r="MTS88" s="120"/>
      <c r="MTT88" s="120"/>
      <c r="MTU88" s="120"/>
      <c r="MTV88" s="120"/>
      <c r="MTW88" s="120"/>
      <c r="MTX88" s="120"/>
      <c r="MTY88" s="120"/>
      <c r="MTZ88" s="120"/>
      <c r="MUA88" s="120"/>
      <c r="MUB88" s="120"/>
      <c r="MUC88" s="120"/>
      <c r="MUD88" s="120"/>
      <c r="MUE88" s="120"/>
      <c r="MUF88" s="120"/>
      <c r="MUG88" s="120"/>
      <c r="MUH88" s="120"/>
      <c r="MUI88" s="120"/>
      <c r="MUJ88" s="120"/>
      <c r="MUK88" s="120"/>
      <c r="MUL88" s="120"/>
      <c r="MUM88" s="120"/>
      <c r="MUN88" s="120"/>
      <c r="MUO88" s="120"/>
      <c r="MUP88" s="120"/>
      <c r="MUQ88" s="120"/>
      <c r="MUR88" s="120"/>
      <c r="MUS88" s="120"/>
      <c r="MUT88" s="120"/>
      <c r="MUU88" s="120"/>
      <c r="MUV88" s="120"/>
      <c r="MUW88" s="120"/>
      <c r="MUX88" s="120"/>
      <c r="MUY88" s="120"/>
      <c r="MUZ88" s="120"/>
      <c r="MVA88" s="120"/>
      <c r="MVB88" s="120"/>
      <c r="MVC88" s="120"/>
      <c r="MVD88" s="120"/>
      <c r="MVE88" s="120"/>
      <c r="MVF88" s="120"/>
      <c r="MVG88" s="120"/>
      <c r="MVH88" s="120"/>
      <c r="MVI88" s="120"/>
      <c r="MVJ88" s="120"/>
      <c r="MVK88" s="120"/>
      <c r="MVL88" s="120"/>
      <c r="MVM88" s="120"/>
      <c r="MVN88" s="120"/>
      <c r="MVO88" s="120"/>
      <c r="MVP88" s="120"/>
      <c r="MVQ88" s="120"/>
      <c r="MVR88" s="120"/>
      <c r="MVS88" s="120"/>
      <c r="MVT88" s="120"/>
      <c r="MVU88" s="120"/>
      <c r="MVV88" s="120"/>
      <c r="MVW88" s="120"/>
      <c r="MVX88" s="120"/>
      <c r="MVY88" s="120"/>
      <c r="MVZ88" s="120"/>
      <c r="MWA88" s="120"/>
      <c r="MWB88" s="120"/>
      <c r="MWC88" s="120"/>
      <c r="MWD88" s="120"/>
      <c r="MWE88" s="120"/>
      <c r="MWF88" s="120"/>
      <c r="MWG88" s="120"/>
      <c r="MWH88" s="120"/>
      <c r="MWI88" s="120"/>
      <c r="MWJ88" s="120"/>
      <c r="MWK88" s="120"/>
      <c r="MWL88" s="120"/>
      <c r="MWM88" s="120"/>
      <c r="MWN88" s="120"/>
      <c r="MWO88" s="120"/>
      <c r="MWP88" s="120"/>
      <c r="MWQ88" s="120"/>
      <c r="MWR88" s="120"/>
      <c r="MWS88" s="120"/>
      <c r="MWT88" s="120"/>
      <c r="MWU88" s="120"/>
      <c r="MWV88" s="120"/>
      <c r="MWW88" s="120"/>
      <c r="MWX88" s="120"/>
      <c r="MWY88" s="120"/>
      <c r="MWZ88" s="120"/>
      <c r="MXA88" s="120"/>
      <c r="MXB88" s="120"/>
      <c r="MXC88" s="120"/>
      <c r="MXD88" s="120"/>
      <c r="MXE88" s="120"/>
      <c r="MXF88" s="120"/>
      <c r="MXG88" s="120"/>
      <c r="MXH88" s="120"/>
      <c r="MXI88" s="120"/>
      <c r="MXJ88" s="120"/>
      <c r="MXK88" s="120"/>
      <c r="MXL88" s="120"/>
      <c r="MXM88" s="120"/>
      <c r="MXN88" s="120"/>
      <c r="MXO88" s="120"/>
      <c r="MXP88" s="120"/>
      <c r="MXQ88" s="120"/>
      <c r="MXR88" s="120"/>
      <c r="MXS88" s="120"/>
      <c r="MXT88" s="120"/>
      <c r="MXU88" s="120"/>
      <c r="MXV88" s="120"/>
      <c r="MXW88" s="120"/>
      <c r="MXX88" s="120"/>
      <c r="MXY88" s="120"/>
      <c r="MXZ88" s="120"/>
      <c r="MYA88" s="120"/>
      <c r="MYB88" s="120"/>
      <c r="MYC88" s="120"/>
      <c r="MYD88" s="120"/>
      <c r="MYE88" s="120"/>
      <c r="MYF88" s="120"/>
      <c r="MYG88" s="120"/>
      <c r="MYH88" s="120"/>
      <c r="MYI88" s="120"/>
      <c r="MYJ88" s="120"/>
      <c r="MYK88" s="120"/>
      <c r="MYL88" s="120"/>
      <c r="MYM88" s="120"/>
      <c r="MYN88" s="120"/>
      <c r="MYO88" s="120"/>
      <c r="MYP88" s="120"/>
      <c r="MYQ88" s="120"/>
      <c r="MYR88" s="120"/>
      <c r="MYS88" s="120"/>
      <c r="MYT88" s="120"/>
      <c r="MYU88" s="120"/>
      <c r="MYV88" s="120"/>
      <c r="MYW88" s="120"/>
      <c r="MYX88" s="120"/>
      <c r="MYY88" s="120"/>
      <c r="MYZ88" s="120"/>
      <c r="MZA88" s="120"/>
      <c r="MZB88" s="120"/>
      <c r="MZC88" s="120"/>
      <c r="MZD88" s="120"/>
      <c r="MZE88" s="120"/>
      <c r="MZF88" s="120"/>
      <c r="MZG88" s="120"/>
      <c r="MZH88" s="120"/>
      <c r="MZI88" s="120"/>
      <c r="MZJ88" s="120"/>
      <c r="MZK88" s="120"/>
      <c r="MZL88" s="120"/>
      <c r="MZM88" s="120"/>
      <c r="MZN88" s="120"/>
      <c r="MZO88" s="120"/>
      <c r="MZP88" s="120"/>
      <c r="MZQ88" s="120"/>
      <c r="MZR88" s="120"/>
      <c r="MZS88" s="120"/>
      <c r="MZT88" s="120"/>
      <c r="MZU88" s="120"/>
      <c r="MZV88" s="120"/>
      <c r="MZW88" s="120"/>
      <c r="MZX88" s="120"/>
      <c r="MZY88" s="120"/>
      <c r="MZZ88" s="120"/>
      <c r="NAA88" s="120"/>
      <c r="NAB88" s="120"/>
      <c r="NAC88" s="120"/>
      <c r="NAD88" s="120"/>
      <c r="NAE88" s="120"/>
      <c r="NAF88" s="120"/>
      <c r="NAG88" s="120"/>
      <c r="NAH88" s="120"/>
      <c r="NAI88" s="120"/>
      <c r="NAJ88" s="120"/>
      <c r="NAK88" s="120"/>
      <c r="NAL88" s="120"/>
      <c r="NAM88" s="120"/>
      <c r="NAN88" s="120"/>
      <c r="NAO88" s="120"/>
      <c r="NAP88" s="120"/>
      <c r="NAQ88" s="120"/>
      <c r="NAR88" s="120"/>
      <c r="NAS88" s="120"/>
      <c r="NAT88" s="120"/>
      <c r="NAU88" s="120"/>
      <c r="NAV88" s="120"/>
      <c r="NAW88" s="120"/>
      <c r="NAX88" s="120"/>
      <c r="NAY88" s="120"/>
      <c r="NAZ88" s="120"/>
      <c r="NBA88" s="120"/>
      <c r="NBB88" s="120"/>
      <c r="NBC88" s="120"/>
      <c r="NBD88" s="120"/>
      <c r="NBE88" s="120"/>
      <c r="NBF88" s="120"/>
      <c r="NBG88" s="120"/>
      <c r="NBH88" s="120"/>
      <c r="NBI88" s="120"/>
      <c r="NBJ88" s="120"/>
      <c r="NBK88" s="120"/>
      <c r="NBL88" s="120"/>
      <c r="NBM88" s="120"/>
      <c r="NBN88" s="120"/>
      <c r="NBO88" s="120"/>
      <c r="NBP88" s="120"/>
      <c r="NBQ88" s="120"/>
      <c r="NBR88" s="120"/>
      <c r="NBS88" s="120"/>
      <c r="NBT88" s="120"/>
      <c r="NBU88" s="120"/>
      <c r="NBV88" s="120"/>
      <c r="NBW88" s="120"/>
      <c r="NBX88" s="120"/>
      <c r="NBY88" s="120"/>
      <c r="NBZ88" s="120"/>
      <c r="NCA88" s="120"/>
      <c r="NCB88" s="120"/>
      <c r="NCC88" s="120"/>
      <c r="NCD88" s="120"/>
      <c r="NCE88" s="120"/>
      <c r="NCF88" s="120"/>
      <c r="NCG88" s="120"/>
      <c r="NCH88" s="120"/>
      <c r="NCI88" s="120"/>
      <c r="NCJ88" s="120"/>
      <c r="NCK88" s="120"/>
      <c r="NCL88" s="120"/>
      <c r="NCM88" s="120"/>
      <c r="NCN88" s="120"/>
      <c r="NCO88" s="120"/>
      <c r="NCP88" s="120"/>
      <c r="NCQ88" s="120"/>
      <c r="NCR88" s="120"/>
      <c r="NCS88" s="120"/>
      <c r="NCT88" s="120"/>
      <c r="NCU88" s="120"/>
      <c r="NCV88" s="120"/>
      <c r="NCW88" s="120"/>
      <c r="NCX88" s="120"/>
      <c r="NCY88" s="120"/>
      <c r="NCZ88" s="120"/>
      <c r="NDA88" s="120"/>
      <c r="NDB88" s="120"/>
      <c r="NDC88" s="120"/>
      <c r="NDD88" s="120"/>
      <c r="NDE88" s="120"/>
      <c r="NDF88" s="120"/>
      <c r="NDG88" s="120"/>
      <c r="NDH88" s="120"/>
      <c r="NDI88" s="120"/>
      <c r="NDJ88" s="120"/>
      <c r="NDK88" s="120"/>
      <c r="NDL88" s="120"/>
      <c r="NDM88" s="120"/>
      <c r="NDN88" s="120"/>
      <c r="NDO88" s="120"/>
      <c r="NDP88" s="120"/>
      <c r="NDQ88" s="120"/>
      <c r="NDR88" s="120"/>
      <c r="NDS88" s="120"/>
      <c r="NDT88" s="120"/>
      <c r="NDU88" s="120"/>
      <c r="NDV88" s="120"/>
      <c r="NDW88" s="120"/>
      <c r="NDX88" s="120"/>
      <c r="NDY88" s="120"/>
      <c r="NDZ88" s="120"/>
      <c r="NEA88" s="120"/>
      <c r="NEB88" s="120"/>
      <c r="NEC88" s="120"/>
      <c r="NED88" s="120"/>
      <c r="NEE88" s="120"/>
      <c r="NEF88" s="120"/>
      <c r="NEG88" s="120"/>
      <c r="NEH88" s="120"/>
      <c r="NEI88" s="120"/>
      <c r="NEJ88" s="120"/>
      <c r="NEK88" s="120"/>
      <c r="NEL88" s="120"/>
      <c r="NEM88" s="120"/>
      <c r="NEN88" s="120"/>
      <c r="NEO88" s="120"/>
      <c r="NEP88" s="120"/>
      <c r="NEQ88" s="120"/>
      <c r="NER88" s="120"/>
      <c r="NES88" s="120"/>
      <c r="NET88" s="120"/>
      <c r="NEU88" s="120"/>
      <c r="NEV88" s="120"/>
      <c r="NEW88" s="120"/>
      <c r="NEX88" s="120"/>
      <c r="NEY88" s="120"/>
      <c r="NEZ88" s="120"/>
      <c r="NFA88" s="120"/>
      <c r="NFB88" s="120"/>
      <c r="NFC88" s="120"/>
      <c r="NFD88" s="120"/>
      <c r="NFE88" s="120"/>
      <c r="NFF88" s="120"/>
      <c r="NFG88" s="120"/>
      <c r="NFH88" s="120"/>
      <c r="NFI88" s="120"/>
      <c r="NFJ88" s="120"/>
      <c r="NFK88" s="120"/>
      <c r="NFL88" s="120"/>
      <c r="NFM88" s="120"/>
      <c r="NFN88" s="120"/>
      <c r="NFO88" s="120"/>
      <c r="NFP88" s="120"/>
      <c r="NFQ88" s="120"/>
      <c r="NFR88" s="120"/>
      <c r="NFS88" s="120"/>
      <c r="NFT88" s="120"/>
      <c r="NFU88" s="120"/>
      <c r="NFV88" s="120"/>
      <c r="NFW88" s="120"/>
      <c r="NFX88" s="120"/>
      <c r="NFY88" s="120"/>
      <c r="NFZ88" s="120"/>
      <c r="NGA88" s="120"/>
      <c r="NGB88" s="120"/>
      <c r="NGC88" s="120"/>
      <c r="NGD88" s="120"/>
      <c r="NGE88" s="120"/>
      <c r="NGF88" s="120"/>
      <c r="NGG88" s="120"/>
      <c r="NGH88" s="120"/>
      <c r="NGI88" s="120"/>
      <c r="NGJ88" s="120"/>
      <c r="NGK88" s="120"/>
      <c r="NGL88" s="120"/>
      <c r="NGM88" s="120"/>
      <c r="NGN88" s="120"/>
      <c r="NGO88" s="120"/>
      <c r="NGP88" s="120"/>
      <c r="NGQ88" s="120"/>
      <c r="NGR88" s="120"/>
      <c r="NGS88" s="120"/>
      <c r="NGT88" s="120"/>
      <c r="NGU88" s="120"/>
      <c r="NGV88" s="120"/>
      <c r="NGW88" s="120"/>
      <c r="NGX88" s="120"/>
      <c r="NGY88" s="120"/>
      <c r="NGZ88" s="120"/>
      <c r="NHA88" s="120"/>
      <c r="NHB88" s="120"/>
      <c r="NHC88" s="120"/>
      <c r="NHD88" s="120"/>
      <c r="NHE88" s="120"/>
      <c r="NHF88" s="120"/>
      <c r="NHG88" s="120"/>
      <c r="NHH88" s="120"/>
      <c r="NHI88" s="120"/>
      <c r="NHJ88" s="120"/>
      <c r="NHK88" s="120"/>
      <c r="NHL88" s="120"/>
      <c r="NHM88" s="120"/>
      <c r="NHN88" s="120"/>
      <c r="NHO88" s="120"/>
      <c r="NHP88" s="120"/>
      <c r="NHQ88" s="120"/>
      <c r="NHR88" s="120"/>
      <c r="NHS88" s="120"/>
      <c r="NHT88" s="120"/>
      <c r="NHU88" s="120"/>
      <c r="NHV88" s="120"/>
      <c r="NHW88" s="120"/>
      <c r="NHX88" s="120"/>
      <c r="NHY88" s="120"/>
      <c r="NHZ88" s="120"/>
      <c r="NIA88" s="120"/>
      <c r="NIB88" s="120"/>
      <c r="NIC88" s="120"/>
      <c r="NID88" s="120"/>
      <c r="NIE88" s="120"/>
      <c r="NIF88" s="120"/>
      <c r="NIG88" s="120"/>
      <c r="NIH88" s="120"/>
      <c r="NII88" s="120"/>
      <c r="NIJ88" s="120"/>
      <c r="NIK88" s="120"/>
      <c r="NIL88" s="120"/>
      <c r="NIM88" s="120"/>
      <c r="NIN88" s="120"/>
      <c r="NIO88" s="120"/>
      <c r="NIP88" s="120"/>
      <c r="NIQ88" s="120"/>
      <c r="NIR88" s="120"/>
      <c r="NIS88" s="120"/>
      <c r="NIT88" s="120"/>
      <c r="NIU88" s="120"/>
      <c r="NIV88" s="120"/>
      <c r="NIW88" s="120"/>
      <c r="NIX88" s="120"/>
      <c r="NIY88" s="120"/>
      <c r="NIZ88" s="120"/>
      <c r="NJA88" s="120"/>
      <c r="NJB88" s="120"/>
      <c r="NJC88" s="120"/>
      <c r="NJD88" s="120"/>
      <c r="NJE88" s="120"/>
      <c r="NJF88" s="120"/>
      <c r="NJG88" s="120"/>
      <c r="NJH88" s="120"/>
      <c r="NJI88" s="120"/>
      <c r="NJJ88" s="120"/>
      <c r="NJK88" s="120"/>
      <c r="NJL88" s="120"/>
      <c r="NJM88" s="120"/>
      <c r="NJN88" s="120"/>
      <c r="NJO88" s="120"/>
      <c r="NJP88" s="120"/>
      <c r="NJQ88" s="120"/>
      <c r="NJR88" s="120"/>
      <c r="NJS88" s="120"/>
      <c r="NJT88" s="120"/>
      <c r="NJU88" s="120"/>
      <c r="NJV88" s="120"/>
      <c r="NJW88" s="120"/>
      <c r="NJX88" s="120"/>
      <c r="NJY88" s="120"/>
      <c r="NJZ88" s="120"/>
      <c r="NKA88" s="120"/>
      <c r="NKB88" s="120"/>
      <c r="NKC88" s="120"/>
      <c r="NKD88" s="120"/>
      <c r="NKE88" s="120"/>
      <c r="NKF88" s="120"/>
      <c r="NKG88" s="120"/>
      <c r="NKH88" s="120"/>
      <c r="NKI88" s="120"/>
      <c r="NKJ88" s="120"/>
      <c r="NKK88" s="120"/>
      <c r="NKL88" s="120"/>
      <c r="NKM88" s="120"/>
      <c r="NKN88" s="120"/>
      <c r="NKO88" s="120"/>
      <c r="NKP88" s="120"/>
      <c r="NKQ88" s="120"/>
      <c r="NKR88" s="120"/>
      <c r="NKS88" s="120"/>
      <c r="NKT88" s="120"/>
      <c r="NKU88" s="120"/>
      <c r="NKV88" s="120"/>
      <c r="NKW88" s="120"/>
      <c r="NKX88" s="120"/>
      <c r="NKY88" s="120"/>
      <c r="NKZ88" s="120"/>
      <c r="NLA88" s="120"/>
      <c r="NLB88" s="120"/>
      <c r="NLC88" s="120"/>
      <c r="NLD88" s="120"/>
      <c r="NLE88" s="120"/>
      <c r="NLF88" s="120"/>
      <c r="NLG88" s="120"/>
      <c r="NLH88" s="120"/>
      <c r="NLI88" s="120"/>
      <c r="NLJ88" s="120"/>
      <c r="NLK88" s="120"/>
      <c r="NLL88" s="120"/>
      <c r="NLM88" s="120"/>
      <c r="NLN88" s="120"/>
      <c r="NLO88" s="120"/>
      <c r="NLP88" s="120"/>
      <c r="NLQ88" s="120"/>
      <c r="NLR88" s="120"/>
      <c r="NLS88" s="120"/>
      <c r="NLT88" s="120"/>
      <c r="NLU88" s="120"/>
      <c r="NLV88" s="120"/>
      <c r="NLW88" s="120"/>
      <c r="NLX88" s="120"/>
      <c r="NLY88" s="120"/>
      <c r="NLZ88" s="120"/>
      <c r="NMA88" s="120"/>
      <c r="NMB88" s="120"/>
      <c r="NMC88" s="120"/>
      <c r="NMD88" s="120"/>
      <c r="NME88" s="120"/>
      <c r="NMF88" s="120"/>
      <c r="NMG88" s="120"/>
      <c r="NMH88" s="120"/>
      <c r="NMI88" s="120"/>
      <c r="NMJ88" s="120"/>
      <c r="NMK88" s="120"/>
      <c r="NML88" s="120"/>
      <c r="NMM88" s="120"/>
      <c r="NMN88" s="120"/>
      <c r="NMO88" s="120"/>
      <c r="NMP88" s="120"/>
      <c r="NMQ88" s="120"/>
      <c r="NMR88" s="120"/>
      <c r="NMS88" s="120"/>
      <c r="NMT88" s="120"/>
      <c r="NMU88" s="120"/>
      <c r="NMV88" s="120"/>
      <c r="NMW88" s="120"/>
      <c r="NMX88" s="120"/>
      <c r="NMY88" s="120"/>
      <c r="NMZ88" s="120"/>
      <c r="NNA88" s="120"/>
      <c r="NNB88" s="120"/>
      <c r="NNC88" s="120"/>
      <c r="NND88" s="120"/>
      <c r="NNE88" s="120"/>
      <c r="NNF88" s="120"/>
      <c r="NNG88" s="120"/>
      <c r="NNH88" s="120"/>
      <c r="NNI88" s="120"/>
      <c r="NNJ88" s="120"/>
      <c r="NNK88" s="120"/>
      <c r="NNL88" s="120"/>
      <c r="NNM88" s="120"/>
      <c r="NNN88" s="120"/>
      <c r="NNO88" s="120"/>
      <c r="NNP88" s="120"/>
      <c r="NNQ88" s="120"/>
      <c r="NNR88" s="120"/>
      <c r="NNS88" s="120"/>
      <c r="NNT88" s="120"/>
      <c r="NNU88" s="120"/>
      <c r="NNV88" s="120"/>
      <c r="NNW88" s="120"/>
      <c r="NNX88" s="120"/>
      <c r="NNY88" s="120"/>
      <c r="NNZ88" s="120"/>
      <c r="NOA88" s="120"/>
      <c r="NOB88" s="120"/>
      <c r="NOC88" s="120"/>
      <c r="NOD88" s="120"/>
      <c r="NOE88" s="120"/>
      <c r="NOF88" s="120"/>
      <c r="NOG88" s="120"/>
      <c r="NOH88" s="120"/>
      <c r="NOI88" s="120"/>
      <c r="NOJ88" s="120"/>
      <c r="NOK88" s="120"/>
      <c r="NOL88" s="120"/>
      <c r="NOM88" s="120"/>
      <c r="NON88" s="120"/>
      <c r="NOO88" s="120"/>
      <c r="NOP88" s="120"/>
      <c r="NOQ88" s="120"/>
      <c r="NOR88" s="120"/>
      <c r="NOS88" s="120"/>
      <c r="NOT88" s="120"/>
      <c r="NOU88" s="120"/>
      <c r="NOV88" s="120"/>
      <c r="NOW88" s="120"/>
      <c r="NOX88" s="120"/>
      <c r="NOY88" s="120"/>
      <c r="NOZ88" s="120"/>
      <c r="NPA88" s="120"/>
      <c r="NPB88" s="120"/>
      <c r="NPC88" s="120"/>
      <c r="NPD88" s="120"/>
      <c r="NPE88" s="120"/>
      <c r="NPF88" s="120"/>
      <c r="NPG88" s="120"/>
      <c r="NPH88" s="120"/>
      <c r="NPI88" s="120"/>
      <c r="NPJ88" s="120"/>
      <c r="NPK88" s="120"/>
      <c r="NPL88" s="120"/>
      <c r="NPM88" s="120"/>
      <c r="NPN88" s="120"/>
      <c r="NPO88" s="120"/>
      <c r="NPP88" s="120"/>
      <c r="NPQ88" s="120"/>
      <c r="NPR88" s="120"/>
      <c r="NPS88" s="120"/>
      <c r="NPT88" s="120"/>
      <c r="NPU88" s="120"/>
      <c r="NPV88" s="120"/>
      <c r="NPW88" s="120"/>
      <c r="NPX88" s="120"/>
      <c r="NPY88" s="120"/>
      <c r="NPZ88" s="120"/>
      <c r="NQA88" s="120"/>
      <c r="NQB88" s="120"/>
      <c r="NQC88" s="120"/>
      <c r="NQD88" s="120"/>
      <c r="NQE88" s="120"/>
      <c r="NQF88" s="120"/>
      <c r="NQG88" s="120"/>
      <c r="NQH88" s="120"/>
      <c r="NQI88" s="120"/>
      <c r="NQJ88" s="120"/>
      <c r="NQK88" s="120"/>
      <c r="NQL88" s="120"/>
      <c r="NQM88" s="120"/>
      <c r="NQN88" s="120"/>
      <c r="NQO88" s="120"/>
      <c r="NQP88" s="120"/>
      <c r="NQQ88" s="120"/>
      <c r="NQR88" s="120"/>
      <c r="NQS88" s="120"/>
      <c r="NQT88" s="120"/>
      <c r="NQU88" s="120"/>
      <c r="NQV88" s="120"/>
      <c r="NQW88" s="120"/>
      <c r="NQX88" s="120"/>
      <c r="NQY88" s="120"/>
      <c r="NQZ88" s="120"/>
      <c r="NRA88" s="120"/>
      <c r="NRB88" s="120"/>
      <c r="NRC88" s="120"/>
      <c r="NRD88" s="120"/>
      <c r="NRE88" s="120"/>
      <c r="NRF88" s="120"/>
      <c r="NRG88" s="120"/>
      <c r="NRH88" s="120"/>
      <c r="NRI88" s="120"/>
      <c r="NRJ88" s="120"/>
      <c r="NRK88" s="120"/>
      <c r="NRL88" s="120"/>
      <c r="NRM88" s="120"/>
      <c r="NRN88" s="120"/>
      <c r="NRO88" s="120"/>
      <c r="NRP88" s="120"/>
      <c r="NRQ88" s="120"/>
      <c r="NRR88" s="120"/>
      <c r="NRS88" s="120"/>
      <c r="NRT88" s="120"/>
      <c r="NRU88" s="120"/>
      <c r="NRV88" s="120"/>
      <c r="NRW88" s="120"/>
      <c r="NRX88" s="120"/>
      <c r="NRY88" s="120"/>
      <c r="NRZ88" s="120"/>
      <c r="NSA88" s="120"/>
      <c r="NSB88" s="120"/>
      <c r="NSC88" s="120"/>
      <c r="NSD88" s="120"/>
      <c r="NSE88" s="120"/>
      <c r="NSF88" s="120"/>
      <c r="NSG88" s="120"/>
      <c r="NSH88" s="120"/>
      <c r="NSI88" s="120"/>
      <c r="NSJ88" s="120"/>
      <c r="NSK88" s="120"/>
      <c r="NSL88" s="120"/>
      <c r="NSM88" s="120"/>
      <c r="NSN88" s="120"/>
      <c r="NSO88" s="120"/>
      <c r="NSP88" s="120"/>
      <c r="NSQ88" s="120"/>
      <c r="NSR88" s="120"/>
      <c r="NSS88" s="120"/>
      <c r="NST88" s="120"/>
      <c r="NSU88" s="120"/>
      <c r="NSV88" s="120"/>
      <c r="NSW88" s="120"/>
      <c r="NSX88" s="120"/>
      <c r="NSY88" s="120"/>
      <c r="NSZ88" s="120"/>
      <c r="NTA88" s="120"/>
      <c r="NTB88" s="120"/>
      <c r="NTC88" s="120"/>
      <c r="NTD88" s="120"/>
      <c r="NTE88" s="120"/>
      <c r="NTF88" s="120"/>
      <c r="NTG88" s="120"/>
      <c r="NTH88" s="120"/>
      <c r="NTI88" s="120"/>
      <c r="NTJ88" s="120"/>
      <c r="NTK88" s="120"/>
      <c r="NTL88" s="120"/>
      <c r="NTM88" s="120"/>
      <c r="NTN88" s="120"/>
      <c r="NTO88" s="120"/>
      <c r="NTP88" s="120"/>
      <c r="NTQ88" s="120"/>
      <c r="NTR88" s="120"/>
      <c r="NTS88" s="120"/>
      <c r="NTT88" s="120"/>
      <c r="NTU88" s="120"/>
      <c r="NTV88" s="120"/>
      <c r="NTW88" s="120"/>
      <c r="NTX88" s="120"/>
      <c r="NTY88" s="120"/>
      <c r="NTZ88" s="120"/>
      <c r="NUA88" s="120"/>
      <c r="NUB88" s="120"/>
      <c r="NUC88" s="120"/>
      <c r="NUD88" s="120"/>
      <c r="NUE88" s="120"/>
      <c r="NUF88" s="120"/>
      <c r="NUG88" s="120"/>
      <c r="NUH88" s="120"/>
      <c r="NUI88" s="120"/>
      <c r="NUJ88" s="120"/>
      <c r="NUK88" s="120"/>
      <c r="NUL88" s="120"/>
      <c r="NUM88" s="120"/>
      <c r="NUN88" s="120"/>
      <c r="NUO88" s="120"/>
      <c r="NUP88" s="120"/>
      <c r="NUQ88" s="120"/>
      <c r="NUR88" s="120"/>
      <c r="NUS88" s="120"/>
      <c r="NUT88" s="120"/>
      <c r="NUU88" s="120"/>
      <c r="NUV88" s="120"/>
      <c r="NUW88" s="120"/>
      <c r="NUX88" s="120"/>
      <c r="NUY88" s="120"/>
      <c r="NUZ88" s="120"/>
      <c r="NVA88" s="120"/>
      <c r="NVB88" s="120"/>
      <c r="NVC88" s="120"/>
      <c r="NVD88" s="120"/>
      <c r="NVE88" s="120"/>
      <c r="NVF88" s="120"/>
      <c r="NVG88" s="120"/>
      <c r="NVH88" s="120"/>
      <c r="NVI88" s="120"/>
      <c r="NVJ88" s="120"/>
      <c r="NVK88" s="120"/>
      <c r="NVL88" s="120"/>
      <c r="NVM88" s="120"/>
      <c r="NVN88" s="120"/>
      <c r="NVO88" s="120"/>
      <c r="NVP88" s="120"/>
      <c r="NVQ88" s="120"/>
      <c r="NVR88" s="120"/>
      <c r="NVS88" s="120"/>
      <c r="NVT88" s="120"/>
      <c r="NVU88" s="120"/>
      <c r="NVV88" s="120"/>
      <c r="NVW88" s="120"/>
      <c r="NVX88" s="120"/>
      <c r="NVY88" s="120"/>
      <c r="NVZ88" s="120"/>
      <c r="NWA88" s="120"/>
      <c r="NWB88" s="120"/>
      <c r="NWC88" s="120"/>
      <c r="NWD88" s="120"/>
      <c r="NWE88" s="120"/>
      <c r="NWF88" s="120"/>
      <c r="NWG88" s="120"/>
      <c r="NWH88" s="120"/>
      <c r="NWI88" s="120"/>
      <c r="NWJ88" s="120"/>
      <c r="NWK88" s="120"/>
      <c r="NWL88" s="120"/>
      <c r="NWM88" s="120"/>
      <c r="NWN88" s="120"/>
      <c r="NWO88" s="120"/>
      <c r="NWP88" s="120"/>
      <c r="NWQ88" s="120"/>
      <c r="NWR88" s="120"/>
      <c r="NWS88" s="120"/>
      <c r="NWT88" s="120"/>
      <c r="NWU88" s="120"/>
      <c r="NWV88" s="120"/>
      <c r="NWW88" s="120"/>
      <c r="NWX88" s="120"/>
      <c r="NWY88" s="120"/>
      <c r="NWZ88" s="120"/>
      <c r="NXA88" s="120"/>
      <c r="NXB88" s="120"/>
      <c r="NXC88" s="120"/>
      <c r="NXD88" s="120"/>
      <c r="NXE88" s="120"/>
      <c r="NXF88" s="120"/>
      <c r="NXG88" s="120"/>
      <c r="NXH88" s="120"/>
      <c r="NXI88" s="120"/>
      <c r="NXJ88" s="120"/>
      <c r="NXK88" s="120"/>
      <c r="NXL88" s="120"/>
      <c r="NXM88" s="120"/>
      <c r="NXN88" s="120"/>
      <c r="NXO88" s="120"/>
      <c r="NXP88" s="120"/>
      <c r="NXQ88" s="120"/>
      <c r="NXR88" s="120"/>
      <c r="NXS88" s="120"/>
      <c r="NXT88" s="120"/>
      <c r="NXU88" s="120"/>
      <c r="NXV88" s="120"/>
      <c r="NXW88" s="120"/>
      <c r="NXX88" s="120"/>
      <c r="NXY88" s="120"/>
      <c r="NXZ88" s="120"/>
      <c r="NYA88" s="120"/>
      <c r="NYB88" s="120"/>
      <c r="NYC88" s="120"/>
      <c r="NYD88" s="120"/>
      <c r="NYE88" s="120"/>
      <c r="NYF88" s="120"/>
      <c r="NYG88" s="120"/>
      <c r="NYH88" s="120"/>
      <c r="NYI88" s="120"/>
      <c r="NYJ88" s="120"/>
      <c r="NYK88" s="120"/>
      <c r="NYL88" s="120"/>
      <c r="NYM88" s="120"/>
      <c r="NYN88" s="120"/>
      <c r="NYO88" s="120"/>
      <c r="NYP88" s="120"/>
      <c r="NYQ88" s="120"/>
      <c r="NYR88" s="120"/>
      <c r="NYS88" s="120"/>
      <c r="NYT88" s="120"/>
      <c r="NYU88" s="120"/>
      <c r="NYV88" s="120"/>
      <c r="NYW88" s="120"/>
      <c r="NYX88" s="120"/>
      <c r="NYY88" s="120"/>
      <c r="NYZ88" s="120"/>
      <c r="NZA88" s="120"/>
      <c r="NZB88" s="120"/>
      <c r="NZC88" s="120"/>
      <c r="NZD88" s="120"/>
      <c r="NZE88" s="120"/>
      <c r="NZF88" s="120"/>
      <c r="NZG88" s="120"/>
      <c r="NZH88" s="120"/>
      <c r="NZI88" s="120"/>
      <c r="NZJ88" s="120"/>
      <c r="NZK88" s="120"/>
      <c r="NZL88" s="120"/>
      <c r="NZM88" s="120"/>
      <c r="NZN88" s="120"/>
      <c r="NZO88" s="120"/>
      <c r="NZP88" s="120"/>
      <c r="NZQ88" s="120"/>
      <c r="NZR88" s="120"/>
      <c r="NZS88" s="120"/>
      <c r="NZT88" s="120"/>
      <c r="NZU88" s="120"/>
      <c r="NZV88" s="120"/>
      <c r="NZW88" s="120"/>
      <c r="NZX88" s="120"/>
      <c r="NZY88" s="120"/>
      <c r="NZZ88" s="120"/>
      <c r="OAA88" s="120"/>
      <c r="OAB88" s="120"/>
      <c r="OAC88" s="120"/>
      <c r="OAD88" s="120"/>
      <c r="OAE88" s="120"/>
      <c r="OAF88" s="120"/>
      <c r="OAG88" s="120"/>
      <c r="OAH88" s="120"/>
      <c r="OAI88" s="120"/>
      <c r="OAJ88" s="120"/>
      <c r="OAK88" s="120"/>
      <c r="OAL88" s="120"/>
      <c r="OAM88" s="120"/>
      <c r="OAN88" s="120"/>
      <c r="OAO88" s="120"/>
      <c r="OAP88" s="120"/>
      <c r="OAQ88" s="120"/>
      <c r="OAR88" s="120"/>
      <c r="OAS88" s="120"/>
      <c r="OAT88" s="120"/>
      <c r="OAU88" s="120"/>
      <c r="OAV88" s="120"/>
      <c r="OAW88" s="120"/>
      <c r="OAX88" s="120"/>
      <c r="OAY88" s="120"/>
      <c r="OAZ88" s="120"/>
      <c r="OBA88" s="120"/>
      <c r="OBB88" s="120"/>
      <c r="OBC88" s="120"/>
      <c r="OBD88" s="120"/>
      <c r="OBE88" s="120"/>
      <c r="OBF88" s="120"/>
      <c r="OBG88" s="120"/>
      <c r="OBH88" s="120"/>
      <c r="OBI88" s="120"/>
      <c r="OBJ88" s="120"/>
      <c r="OBK88" s="120"/>
      <c r="OBL88" s="120"/>
      <c r="OBM88" s="120"/>
      <c r="OBN88" s="120"/>
      <c r="OBO88" s="120"/>
      <c r="OBP88" s="120"/>
      <c r="OBQ88" s="120"/>
      <c r="OBR88" s="120"/>
      <c r="OBS88" s="120"/>
      <c r="OBT88" s="120"/>
      <c r="OBU88" s="120"/>
      <c r="OBV88" s="120"/>
      <c r="OBW88" s="120"/>
      <c r="OBX88" s="120"/>
      <c r="OBY88" s="120"/>
      <c r="OBZ88" s="120"/>
      <c r="OCA88" s="120"/>
      <c r="OCB88" s="120"/>
      <c r="OCC88" s="120"/>
      <c r="OCD88" s="120"/>
      <c r="OCE88" s="120"/>
      <c r="OCF88" s="120"/>
      <c r="OCG88" s="120"/>
      <c r="OCH88" s="120"/>
      <c r="OCI88" s="120"/>
      <c r="OCJ88" s="120"/>
      <c r="OCK88" s="120"/>
      <c r="OCL88" s="120"/>
      <c r="OCM88" s="120"/>
      <c r="OCN88" s="120"/>
      <c r="OCO88" s="120"/>
      <c r="OCP88" s="120"/>
      <c r="OCQ88" s="120"/>
      <c r="OCR88" s="120"/>
      <c r="OCS88" s="120"/>
      <c r="OCT88" s="120"/>
      <c r="OCU88" s="120"/>
      <c r="OCV88" s="120"/>
      <c r="OCW88" s="120"/>
      <c r="OCX88" s="120"/>
      <c r="OCY88" s="120"/>
      <c r="OCZ88" s="120"/>
      <c r="ODA88" s="120"/>
      <c r="ODB88" s="120"/>
      <c r="ODC88" s="120"/>
      <c r="ODD88" s="120"/>
      <c r="ODE88" s="120"/>
      <c r="ODF88" s="120"/>
      <c r="ODG88" s="120"/>
      <c r="ODH88" s="120"/>
      <c r="ODI88" s="120"/>
      <c r="ODJ88" s="120"/>
      <c r="ODK88" s="120"/>
      <c r="ODL88" s="120"/>
      <c r="ODM88" s="120"/>
      <c r="ODN88" s="120"/>
      <c r="ODO88" s="120"/>
      <c r="ODP88" s="120"/>
      <c r="ODQ88" s="120"/>
      <c r="ODR88" s="120"/>
      <c r="ODS88" s="120"/>
      <c r="ODT88" s="120"/>
      <c r="ODU88" s="120"/>
      <c r="ODV88" s="120"/>
      <c r="ODW88" s="120"/>
      <c r="ODX88" s="120"/>
      <c r="ODY88" s="120"/>
      <c r="ODZ88" s="120"/>
      <c r="OEA88" s="120"/>
      <c r="OEB88" s="120"/>
      <c r="OEC88" s="120"/>
      <c r="OED88" s="120"/>
      <c r="OEE88" s="120"/>
      <c r="OEF88" s="120"/>
      <c r="OEG88" s="120"/>
      <c r="OEH88" s="120"/>
      <c r="OEI88" s="120"/>
      <c r="OEJ88" s="120"/>
      <c r="OEK88" s="120"/>
      <c r="OEL88" s="120"/>
      <c r="OEM88" s="120"/>
      <c r="OEN88" s="120"/>
      <c r="OEO88" s="120"/>
      <c r="OEP88" s="120"/>
      <c r="OEQ88" s="120"/>
      <c r="OER88" s="120"/>
      <c r="OES88" s="120"/>
      <c r="OET88" s="120"/>
      <c r="OEU88" s="120"/>
      <c r="OEV88" s="120"/>
      <c r="OEW88" s="120"/>
      <c r="OEX88" s="120"/>
      <c r="OEY88" s="120"/>
      <c r="OEZ88" s="120"/>
      <c r="OFA88" s="120"/>
      <c r="OFB88" s="120"/>
      <c r="OFC88" s="120"/>
      <c r="OFD88" s="120"/>
      <c r="OFE88" s="120"/>
      <c r="OFF88" s="120"/>
      <c r="OFG88" s="120"/>
      <c r="OFH88" s="120"/>
      <c r="OFI88" s="120"/>
      <c r="OFJ88" s="120"/>
      <c r="OFK88" s="120"/>
      <c r="OFL88" s="120"/>
      <c r="OFM88" s="120"/>
      <c r="OFN88" s="120"/>
      <c r="OFO88" s="120"/>
      <c r="OFP88" s="120"/>
      <c r="OFQ88" s="120"/>
      <c r="OFR88" s="120"/>
      <c r="OFS88" s="120"/>
      <c r="OFT88" s="120"/>
      <c r="OFU88" s="120"/>
      <c r="OFV88" s="120"/>
      <c r="OFW88" s="120"/>
      <c r="OFX88" s="120"/>
      <c r="OFY88" s="120"/>
      <c r="OFZ88" s="120"/>
      <c r="OGA88" s="120"/>
      <c r="OGB88" s="120"/>
      <c r="OGC88" s="120"/>
      <c r="OGD88" s="120"/>
      <c r="OGE88" s="120"/>
      <c r="OGF88" s="120"/>
      <c r="OGG88" s="120"/>
      <c r="OGH88" s="120"/>
      <c r="OGI88" s="120"/>
      <c r="OGJ88" s="120"/>
      <c r="OGK88" s="120"/>
      <c r="OGL88" s="120"/>
      <c r="OGM88" s="120"/>
      <c r="OGN88" s="120"/>
      <c r="OGO88" s="120"/>
      <c r="OGP88" s="120"/>
      <c r="OGQ88" s="120"/>
      <c r="OGR88" s="120"/>
      <c r="OGS88" s="120"/>
      <c r="OGT88" s="120"/>
      <c r="OGU88" s="120"/>
      <c r="OGV88" s="120"/>
      <c r="OGW88" s="120"/>
      <c r="OGX88" s="120"/>
      <c r="OGY88" s="120"/>
      <c r="OGZ88" s="120"/>
      <c r="OHA88" s="120"/>
      <c r="OHB88" s="120"/>
      <c r="OHC88" s="120"/>
      <c r="OHD88" s="120"/>
      <c r="OHE88" s="120"/>
      <c r="OHF88" s="120"/>
      <c r="OHG88" s="120"/>
      <c r="OHH88" s="120"/>
      <c r="OHI88" s="120"/>
      <c r="OHJ88" s="120"/>
      <c r="OHK88" s="120"/>
      <c r="OHL88" s="120"/>
      <c r="OHM88" s="120"/>
      <c r="OHN88" s="120"/>
      <c r="OHO88" s="120"/>
      <c r="OHP88" s="120"/>
      <c r="OHQ88" s="120"/>
      <c r="OHR88" s="120"/>
      <c r="OHS88" s="120"/>
      <c r="OHT88" s="120"/>
      <c r="OHU88" s="120"/>
      <c r="OHV88" s="120"/>
      <c r="OHW88" s="120"/>
      <c r="OHX88" s="120"/>
      <c r="OHY88" s="120"/>
      <c r="OHZ88" s="120"/>
      <c r="OIA88" s="120"/>
      <c r="OIB88" s="120"/>
      <c r="OIC88" s="120"/>
      <c r="OID88" s="120"/>
      <c r="OIE88" s="120"/>
      <c r="OIF88" s="120"/>
      <c r="OIG88" s="120"/>
      <c r="OIH88" s="120"/>
      <c r="OII88" s="120"/>
      <c r="OIJ88" s="120"/>
      <c r="OIK88" s="120"/>
      <c r="OIL88" s="120"/>
      <c r="OIM88" s="120"/>
      <c r="OIN88" s="120"/>
      <c r="OIO88" s="120"/>
      <c r="OIP88" s="120"/>
      <c r="OIQ88" s="120"/>
      <c r="OIR88" s="120"/>
      <c r="OIS88" s="120"/>
      <c r="OIT88" s="120"/>
      <c r="OIU88" s="120"/>
      <c r="OIV88" s="120"/>
      <c r="OIW88" s="120"/>
      <c r="OIX88" s="120"/>
      <c r="OIY88" s="120"/>
      <c r="OIZ88" s="120"/>
      <c r="OJA88" s="120"/>
      <c r="OJB88" s="120"/>
      <c r="OJC88" s="120"/>
      <c r="OJD88" s="120"/>
      <c r="OJE88" s="120"/>
      <c r="OJF88" s="120"/>
      <c r="OJG88" s="120"/>
      <c r="OJH88" s="120"/>
      <c r="OJI88" s="120"/>
      <c r="OJJ88" s="120"/>
      <c r="OJK88" s="120"/>
      <c r="OJL88" s="120"/>
      <c r="OJM88" s="120"/>
      <c r="OJN88" s="120"/>
      <c r="OJO88" s="120"/>
      <c r="OJP88" s="120"/>
      <c r="OJQ88" s="120"/>
      <c r="OJR88" s="120"/>
      <c r="OJS88" s="120"/>
      <c r="OJT88" s="120"/>
      <c r="OJU88" s="120"/>
      <c r="OJV88" s="120"/>
      <c r="OJW88" s="120"/>
      <c r="OJX88" s="120"/>
      <c r="OJY88" s="120"/>
      <c r="OJZ88" s="120"/>
      <c r="OKA88" s="120"/>
      <c r="OKB88" s="120"/>
      <c r="OKC88" s="120"/>
      <c r="OKD88" s="120"/>
      <c r="OKE88" s="120"/>
      <c r="OKF88" s="120"/>
      <c r="OKG88" s="120"/>
      <c r="OKH88" s="120"/>
      <c r="OKI88" s="120"/>
      <c r="OKJ88" s="120"/>
      <c r="OKK88" s="120"/>
      <c r="OKL88" s="120"/>
      <c r="OKM88" s="120"/>
      <c r="OKN88" s="120"/>
      <c r="OKO88" s="120"/>
      <c r="OKP88" s="120"/>
      <c r="OKQ88" s="120"/>
      <c r="OKR88" s="120"/>
      <c r="OKS88" s="120"/>
      <c r="OKT88" s="120"/>
      <c r="OKU88" s="120"/>
      <c r="OKV88" s="120"/>
      <c r="OKW88" s="120"/>
      <c r="OKX88" s="120"/>
      <c r="OKY88" s="120"/>
      <c r="OKZ88" s="120"/>
      <c r="OLA88" s="120"/>
      <c r="OLB88" s="120"/>
      <c r="OLC88" s="120"/>
      <c r="OLD88" s="120"/>
      <c r="OLE88" s="120"/>
      <c r="OLF88" s="120"/>
      <c r="OLG88" s="120"/>
      <c r="OLH88" s="120"/>
      <c r="OLI88" s="120"/>
      <c r="OLJ88" s="120"/>
      <c r="OLK88" s="120"/>
      <c r="OLL88" s="120"/>
      <c r="OLM88" s="120"/>
      <c r="OLN88" s="120"/>
      <c r="OLO88" s="120"/>
      <c r="OLP88" s="120"/>
      <c r="OLQ88" s="120"/>
      <c r="OLR88" s="120"/>
      <c r="OLS88" s="120"/>
      <c r="OLT88" s="120"/>
      <c r="OLU88" s="120"/>
      <c r="OLV88" s="120"/>
      <c r="OLW88" s="120"/>
      <c r="OLX88" s="120"/>
      <c r="OLY88" s="120"/>
      <c r="OLZ88" s="120"/>
      <c r="OMA88" s="120"/>
      <c r="OMB88" s="120"/>
      <c r="OMC88" s="120"/>
      <c r="OMD88" s="120"/>
      <c r="OME88" s="120"/>
      <c r="OMF88" s="120"/>
      <c r="OMG88" s="120"/>
      <c r="OMH88" s="120"/>
      <c r="OMI88" s="120"/>
      <c r="OMJ88" s="120"/>
      <c r="OMK88" s="120"/>
      <c r="OML88" s="120"/>
      <c r="OMM88" s="120"/>
      <c r="OMN88" s="120"/>
      <c r="OMO88" s="120"/>
      <c r="OMP88" s="120"/>
      <c r="OMQ88" s="120"/>
      <c r="OMR88" s="120"/>
      <c r="OMS88" s="120"/>
      <c r="OMT88" s="120"/>
      <c r="OMU88" s="120"/>
      <c r="OMV88" s="120"/>
      <c r="OMW88" s="120"/>
      <c r="OMX88" s="120"/>
      <c r="OMY88" s="120"/>
      <c r="OMZ88" s="120"/>
      <c r="ONA88" s="120"/>
      <c r="ONB88" s="120"/>
      <c r="ONC88" s="120"/>
      <c r="OND88" s="120"/>
      <c r="ONE88" s="120"/>
      <c r="ONF88" s="120"/>
      <c r="ONG88" s="120"/>
      <c r="ONH88" s="120"/>
      <c r="ONI88" s="120"/>
      <c r="ONJ88" s="120"/>
      <c r="ONK88" s="120"/>
      <c r="ONL88" s="120"/>
      <c r="ONM88" s="120"/>
      <c r="ONN88" s="120"/>
      <c r="ONO88" s="120"/>
      <c r="ONP88" s="120"/>
      <c r="ONQ88" s="120"/>
      <c r="ONR88" s="120"/>
      <c r="ONS88" s="120"/>
      <c r="ONT88" s="120"/>
      <c r="ONU88" s="120"/>
      <c r="ONV88" s="120"/>
      <c r="ONW88" s="120"/>
      <c r="ONX88" s="120"/>
      <c r="ONY88" s="120"/>
      <c r="ONZ88" s="120"/>
      <c r="OOA88" s="120"/>
      <c r="OOB88" s="120"/>
      <c r="OOC88" s="120"/>
      <c r="OOD88" s="120"/>
      <c r="OOE88" s="120"/>
      <c r="OOF88" s="120"/>
      <c r="OOG88" s="120"/>
      <c r="OOH88" s="120"/>
      <c r="OOI88" s="120"/>
      <c r="OOJ88" s="120"/>
      <c r="OOK88" s="120"/>
      <c r="OOL88" s="120"/>
      <c r="OOM88" s="120"/>
      <c r="OON88" s="120"/>
      <c r="OOO88" s="120"/>
      <c r="OOP88" s="120"/>
      <c r="OOQ88" s="120"/>
      <c r="OOR88" s="120"/>
      <c r="OOS88" s="120"/>
      <c r="OOT88" s="120"/>
      <c r="OOU88" s="120"/>
      <c r="OOV88" s="120"/>
      <c r="OOW88" s="120"/>
      <c r="OOX88" s="120"/>
      <c r="OOY88" s="120"/>
      <c r="OOZ88" s="120"/>
      <c r="OPA88" s="120"/>
      <c r="OPB88" s="120"/>
      <c r="OPC88" s="120"/>
      <c r="OPD88" s="120"/>
      <c r="OPE88" s="120"/>
      <c r="OPF88" s="120"/>
      <c r="OPG88" s="120"/>
      <c r="OPH88" s="120"/>
      <c r="OPI88" s="120"/>
      <c r="OPJ88" s="120"/>
      <c r="OPK88" s="120"/>
      <c r="OPL88" s="120"/>
      <c r="OPM88" s="120"/>
      <c r="OPN88" s="120"/>
      <c r="OPO88" s="120"/>
      <c r="OPP88" s="120"/>
      <c r="OPQ88" s="120"/>
      <c r="OPR88" s="120"/>
      <c r="OPS88" s="120"/>
      <c r="OPT88" s="120"/>
      <c r="OPU88" s="120"/>
      <c r="OPV88" s="120"/>
      <c r="OPW88" s="120"/>
      <c r="OPX88" s="120"/>
      <c r="OPY88" s="120"/>
      <c r="OPZ88" s="120"/>
      <c r="OQA88" s="120"/>
      <c r="OQB88" s="120"/>
      <c r="OQC88" s="120"/>
      <c r="OQD88" s="120"/>
      <c r="OQE88" s="120"/>
      <c r="OQF88" s="120"/>
      <c r="OQG88" s="120"/>
      <c r="OQH88" s="120"/>
      <c r="OQI88" s="120"/>
      <c r="OQJ88" s="120"/>
      <c r="OQK88" s="120"/>
      <c r="OQL88" s="120"/>
      <c r="OQM88" s="120"/>
      <c r="OQN88" s="120"/>
      <c r="OQO88" s="120"/>
      <c r="OQP88" s="120"/>
      <c r="OQQ88" s="120"/>
      <c r="OQR88" s="120"/>
      <c r="OQS88" s="120"/>
      <c r="OQT88" s="120"/>
      <c r="OQU88" s="120"/>
      <c r="OQV88" s="120"/>
      <c r="OQW88" s="120"/>
      <c r="OQX88" s="120"/>
      <c r="OQY88" s="120"/>
      <c r="OQZ88" s="120"/>
      <c r="ORA88" s="120"/>
      <c r="ORB88" s="120"/>
      <c r="ORC88" s="120"/>
      <c r="ORD88" s="120"/>
      <c r="ORE88" s="120"/>
      <c r="ORF88" s="120"/>
      <c r="ORG88" s="120"/>
      <c r="ORH88" s="120"/>
      <c r="ORI88" s="120"/>
      <c r="ORJ88" s="120"/>
      <c r="ORK88" s="120"/>
      <c r="ORL88" s="120"/>
      <c r="ORM88" s="120"/>
      <c r="ORN88" s="120"/>
      <c r="ORO88" s="120"/>
      <c r="ORP88" s="120"/>
      <c r="ORQ88" s="120"/>
      <c r="ORR88" s="120"/>
      <c r="ORS88" s="120"/>
      <c r="ORT88" s="120"/>
      <c r="ORU88" s="120"/>
      <c r="ORV88" s="120"/>
      <c r="ORW88" s="120"/>
      <c r="ORX88" s="120"/>
      <c r="ORY88" s="120"/>
      <c r="ORZ88" s="120"/>
      <c r="OSA88" s="120"/>
      <c r="OSB88" s="120"/>
      <c r="OSC88" s="120"/>
      <c r="OSD88" s="120"/>
      <c r="OSE88" s="120"/>
      <c r="OSF88" s="120"/>
      <c r="OSG88" s="120"/>
      <c r="OSH88" s="120"/>
      <c r="OSI88" s="120"/>
      <c r="OSJ88" s="120"/>
      <c r="OSK88" s="120"/>
      <c r="OSL88" s="120"/>
      <c r="OSM88" s="120"/>
      <c r="OSN88" s="120"/>
      <c r="OSO88" s="120"/>
      <c r="OSP88" s="120"/>
      <c r="OSQ88" s="120"/>
      <c r="OSR88" s="120"/>
      <c r="OSS88" s="120"/>
      <c r="OST88" s="120"/>
      <c r="OSU88" s="120"/>
      <c r="OSV88" s="120"/>
      <c r="OSW88" s="120"/>
      <c r="OSX88" s="120"/>
      <c r="OSY88" s="120"/>
      <c r="OSZ88" s="120"/>
      <c r="OTA88" s="120"/>
      <c r="OTB88" s="120"/>
      <c r="OTC88" s="120"/>
      <c r="OTD88" s="120"/>
      <c r="OTE88" s="120"/>
      <c r="OTF88" s="120"/>
      <c r="OTG88" s="120"/>
      <c r="OTH88" s="120"/>
      <c r="OTI88" s="120"/>
      <c r="OTJ88" s="120"/>
      <c r="OTK88" s="120"/>
      <c r="OTL88" s="120"/>
      <c r="OTM88" s="120"/>
      <c r="OTN88" s="120"/>
      <c r="OTO88" s="120"/>
      <c r="OTP88" s="120"/>
      <c r="OTQ88" s="120"/>
      <c r="OTR88" s="120"/>
      <c r="OTS88" s="120"/>
      <c r="OTT88" s="120"/>
      <c r="OTU88" s="120"/>
      <c r="OTV88" s="120"/>
      <c r="OTW88" s="120"/>
      <c r="OTX88" s="120"/>
      <c r="OTY88" s="120"/>
      <c r="OTZ88" s="120"/>
      <c r="OUA88" s="120"/>
      <c r="OUB88" s="120"/>
      <c r="OUC88" s="120"/>
      <c r="OUD88" s="120"/>
      <c r="OUE88" s="120"/>
      <c r="OUF88" s="120"/>
      <c r="OUG88" s="120"/>
      <c r="OUH88" s="120"/>
      <c r="OUI88" s="120"/>
      <c r="OUJ88" s="120"/>
      <c r="OUK88" s="120"/>
      <c r="OUL88" s="120"/>
      <c r="OUM88" s="120"/>
      <c r="OUN88" s="120"/>
      <c r="OUO88" s="120"/>
      <c r="OUP88" s="120"/>
      <c r="OUQ88" s="120"/>
      <c r="OUR88" s="120"/>
      <c r="OUS88" s="120"/>
      <c r="OUT88" s="120"/>
      <c r="OUU88" s="120"/>
      <c r="OUV88" s="120"/>
      <c r="OUW88" s="120"/>
      <c r="OUX88" s="120"/>
      <c r="OUY88" s="120"/>
      <c r="OUZ88" s="120"/>
      <c r="OVA88" s="120"/>
      <c r="OVB88" s="120"/>
      <c r="OVC88" s="120"/>
      <c r="OVD88" s="120"/>
      <c r="OVE88" s="120"/>
      <c r="OVF88" s="120"/>
      <c r="OVG88" s="120"/>
      <c r="OVH88" s="120"/>
      <c r="OVI88" s="120"/>
      <c r="OVJ88" s="120"/>
      <c r="OVK88" s="120"/>
      <c r="OVL88" s="120"/>
      <c r="OVM88" s="120"/>
      <c r="OVN88" s="120"/>
      <c r="OVO88" s="120"/>
      <c r="OVP88" s="120"/>
      <c r="OVQ88" s="120"/>
      <c r="OVR88" s="120"/>
      <c r="OVS88" s="120"/>
      <c r="OVT88" s="120"/>
      <c r="OVU88" s="120"/>
      <c r="OVV88" s="120"/>
      <c r="OVW88" s="120"/>
      <c r="OVX88" s="120"/>
      <c r="OVY88" s="120"/>
      <c r="OVZ88" s="120"/>
      <c r="OWA88" s="120"/>
      <c r="OWB88" s="120"/>
      <c r="OWC88" s="120"/>
      <c r="OWD88" s="120"/>
      <c r="OWE88" s="120"/>
      <c r="OWF88" s="120"/>
      <c r="OWG88" s="120"/>
      <c r="OWH88" s="120"/>
      <c r="OWI88" s="120"/>
      <c r="OWJ88" s="120"/>
      <c r="OWK88" s="120"/>
      <c r="OWL88" s="120"/>
      <c r="OWM88" s="120"/>
      <c r="OWN88" s="120"/>
      <c r="OWO88" s="120"/>
      <c r="OWP88" s="120"/>
      <c r="OWQ88" s="120"/>
      <c r="OWR88" s="120"/>
      <c r="OWS88" s="120"/>
      <c r="OWT88" s="120"/>
      <c r="OWU88" s="120"/>
      <c r="OWV88" s="120"/>
      <c r="OWW88" s="120"/>
      <c r="OWX88" s="120"/>
      <c r="OWY88" s="120"/>
      <c r="OWZ88" s="120"/>
      <c r="OXA88" s="120"/>
      <c r="OXB88" s="120"/>
      <c r="OXC88" s="120"/>
      <c r="OXD88" s="120"/>
      <c r="OXE88" s="120"/>
      <c r="OXF88" s="120"/>
      <c r="OXG88" s="120"/>
      <c r="OXH88" s="120"/>
      <c r="OXI88" s="120"/>
      <c r="OXJ88" s="120"/>
      <c r="OXK88" s="120"/>
      <c r="OXL88" s="120"/>
      <c r="OXM88" s="120"/>
      <c r="OXN88" s="120"/>
      <c r="OXO88" s="120"/>
      <c r="OXP88" s="120"/>
      <c r="OXQ88" s="120"/>
      <c r="OXR88" s="120"/>
      <c r="OXS88" s="120"/>
      <c r="OXT88" s="120"/>
      <c r="OXU88" s="120"/>
      <c r="OXV88" s="120"/>
      <c r="OXW88" s="120"/>
      <c r="OXX88" s="120"/>
      <c r="OXY88" s="120"/>
      <c r="OXZ88" s="120"/>
      <c r="OYA88" s="120"/>
      <c r="OYB88" s="120"/>
      <c r="OYC88" s="120"/>
      <c r="OYD88" s="120"/>
      <c r="OYE88" s="120"/>
      <c r="OYF88" s="120"/>
      <c r="OYG88" s="120"/>
      <c r="OYH88" s="120"/>
      <c r="OYI88" s="120"/>
      <c r="OYJ88" s="120"/>
      <c r="OYK88" s="120"/>
      <c r="OYL88" s="120"/>
      <c r="OYM88" s="120"/>
      <c r="OYN88" s="120"/>
      <c r="OYO88" s="120"/>
      <c r="OYP88" s="120"/>
      <c r="OYQ88" s="120"/>
      <c r="OYR88" s="120"/>
      <c r="OYS88" s="120"/>
      <c r="OYT88" s="120"/>
      <c r="OYU88" s="120"/>
      <c r="OYV88" s="120"/>
      <c r="OYW88" s="120"/>
      <c r="OYX88" s="120"/>
      <c r="OYY88" s="120"/>
      <c r="OYZ88" s="120"/>
      <c r="OZA88" s="120"/>
      <c r="OZB88" s="120"/>
      <c r="OZC88" s="120"/>
      <c r="OZD88" s="120"/>
      <c r="OZE88" s="120"/>
      <c r="OZF88" s="120"/>
      <c r="OZG88" s="120"/>
      <c r="OZH88" s="120"/>
      <c r="OZI88" s="120"/>
      <c r="OZJ88" s="120"/>
      <c r="OZK88" s="120"/>
      <c r="OZL88" s="120"/>
      <c r="OZM88" s="120"/>
      <c r="OZN88" s="120"/>
      <c r="OZO88" s="120"/>
      <c r="OZP88" s="120"/>
      <c r="OZQ88" s="120"/>
      <c r="OZR88" s="120"/>
      <c r="OZS88" s="120"/>
      <c r="OZT88" s="120"/>
      <c r="OZU88" s="120"/>
      <c r="OZV88" s="120"/>
      <c r="OZW88" s="120"/>
      <c r="OZX88" s="120"/>
      <c r="OZY88" s="120"/>
      <c r="OZZ88" s="120"/>
      <c r="PAA88" s="120"/>
      <c r="PAB88" s="120"/>
      <c r="PAC88" s="120"/>
      <c r="PAD88" s="120"/>
      <c r="PAE88" s="120"/>
      <c r="PAF88" s="120"/>
      <c r="PAG88" s="120"/>
      <c r="PAH88" s="120"/>
      <c r="PAI88" s="120"/>
      <c r="PAJ88" s="120"/>
      <c r="PAK88" s="120"/>
      <c r="PAL88" s="120"/>
      <c r="PAM88" s="120"/>
      <c r="PAN88" s="120"/>
      <c r="PAO88" s="120"/>
      <c r="PAP88" s="120"/>
      <c r="PAQ88" s="120"/>
      <c r="PAR88" s="120"/>
      <c r="PAS88" s="120"/>
      <c r="PAT88" s="120"/>
      <c r="PAU88" s="120"/>
      <c r="PAV88" s="120"/>
      <c r="PAW88" s="120"/>
      <c r="PAX88" s="120"/>
      <c r="PAY88" s="120"/>
      <c r="PAZ88" s="120"/>
      <c r="PBA88" s="120"/>
      <c r="PBB88" s="120"/>
      <c r="PBC88" s="120"/>
      <c r="PBD88" s="120"/>
      <c r="PBE88" s="120"/>
      <c r="PBF88" s="120"/>
      <c r="PBG88" s="120"/>
      <c r="PBH88" s="120"/>
      <c r="PBI88" s="120"/>
      <c r="PBJ88" s="120"/>
      <c r="PBK88" s="120"/>
      <c r="PBL88" s="120"/>
      <c r="PBM88" s="120"/>
      <c r="PBN88" s="120"/>
      <c r="PBO88" s="120"/>
      <c r="PBP88" s="120"/>
      <c r="PBQ88" s="120"/>
      <c r="PBR88" s="120"/>
      <c r="PBS88" s="120"/>
      <c r="PBT88" s="120"/>
      <c r="PBU88" s="120"/>
      <c r="PBV88" s="120"/>
      <c r="PBW88" s="120"/>
      <c r="PBX88" s="120"/>
      <c r="PBY88" s="120"/>
      <c r="PBZ88" s="120"/>
      <c r="PCA88" s="120"/>
      <c r="PCB88" s="120"/>
      <c r="PCC88" s="120"/>
      <c r="PCD88" s="120"/>
      <c r="PCE88" s="120"/>
      <c r="PCF88" s="120"/>
      <c r="PCG88" s="120"/>
      <c r="PCH88" s="120"/>
      <c r="PCI88" s="120"/>
      <c r="PCJ88" s="120"/>
      <c r="PCK88" s="120"/>
      <c r="PCL88" s="120"/>
      <c r="PCM88" s="120"/>
      <c r="PCN88" s="120"/>
      <c r="PCO88" s="120"/>
      <c r="PCP88" s="120"/>
      <c r="PCQ88" s="120"/>
      <c r="PCR88" s="120"/>
      <c r="PCS88" s="120"/>
      <c r="PCT88" s="120"/>
      <c r="PCU88" s="120"/>
      <c r="PCV88" s="120"/>
      <c r="PCW88" s="120"/>
      <c r="PCX88" s="120"/>
      <c r="PCY88" s="120"/>
      <c r="PCZ88" s="120"/>
      <c r="PDA88" s="120"/>
      <c r="PDB88" s="120"/>
      <c r="PDC88" s="120"/>
      <c r="PDD88" s="120"/>
      <c r="PDE88" s="120"/>
      <c r="PDF88" s="120"/>
      <c r="PDG88" s="120"/>
      <c r="PDH88" s="120"/>
      <c r="PDI88" s="120"/>
      <c r="PDJ88" s="120"/>
      <c r="PDK88" s="120"/>
      <c r="PDL88" s="120"/>
      <c r="PDM88" s="120"/>
      <c r="PDN88" s="120"/>
      <c r="PDO88" s="120"/>
      <c r="PDP88" s="120"/>
      <c r="PDQ88" s="120"/>
      <c r="PDR88" s="120"/>
      <c r="PDS88" s="120"/>
      <c r="PDT88" s="120"/>
      <c r="PDU88" s="120"/>
      <c r="PDV88" s="120"/>
      <c r="PDW88" s="120"/>
      <c r="PDX88" s="120"/>
      <c r="PDY88" s="120"/>
      <c r="PDZ88" s="120"/>
      <c r="PEA88" s="120"/>
      <c r="PEB88" s="120"/>
      <c r="PEC88" s="120"/>
      <c r="PED88" s="120"/>
      <c r="PEE88" s="120"/>
      <c r="PEF88" s="120"/>
      <c r="PEG88" s="120"/>
      <c r="PEH88" s="120"/>
      <c r="PEI88" s="120"/>
      <c r="PEJ88" s="120"/>
      <c r="PEK88" s="120"/>
      <c r="PEL88" s="120"/>
      <c r="PEM88" s="120"/>
      <c r="PEN88" s="120"/>
      <c r="PEO88" s="120"/>
      <c r="PEP88" s="120"/>
      <c r="PEQ88" s="120"/>
      <c r="PER88" s="120"/>
      <c r="PES88" s="120"/>
      <c r="PET88" s="120"/>
      <c r="PEU88" s="120"/>
      <c r="PEV88" s="120"/>
      <c r="PEW88" s="120"/>
      <c r="PEX88" s="120"/>
      <c r="PEY88" s="120"/>
      <c r="PEZ88" s="120"/>
      <c r="PFA88" s="120"/>
      <c r="PFB88" s="120"/>
      <c r="PFC88" s="120"/>
      <c r="PFD88" s="120"/>
      <c r="PFE88" s="120"/>
      <c r="PFF88" s="120"/>
      <c r="PFG88" s="120"/>
      <c r="PFH88" s="120"/>
      <c r="PFI88" s="120"/>
      <c r="PFJ88" s="120"/>
      <c r="PFK88" s="120"/>
      <c r="PFL88" s="120"/>
      <c r="PFM88" s="120"/>
      <c r="PFN88" s="120"/>
      <c r="PFO88" s="120"/>
      <c r="PFP88" s="120"/>
      <c r="PFQ88" s="120"/>
      <c r="PFR88" s="120"/>
      <c r="PFS88" s="120"/>
      <c r="PFT88" s="120"/>
      <c r="PFU88" s="120"/>
      <c r="PFV88" s="120"/>
      <c r="PFW88" s="120"/>
      <c r="PFX88" s="120"/>
      <c r="PFY88" s="120"/>
      <c r="PFZ88" s="120"/>
      <c r="PGA88" s="120"/>
      <c r="PGB88" s="120"/>
      <c r="PGC88" s="120"/>
      <c r="PGD88" s="120"/>
      <c r="PGE88" s="120"/>
      <c r="PGF88" s="120"/>
      <c r="PGG88" s="120"/>
      <c r="PGH88" s="120"/>
      <c r="PGI88" s="120"/>
      <c r="PGJ88" s="120"/>
      <c r="PGK88" s="120"/>
      <c r="PGL88" s="120"/>
      <c r="PGM88" s="120"/>
      <c r="PGN88" s="120"/>
      <c r="PGO88" s="120"/>
      <c r="PGP88" s="120"/>
      <c r="PGQ88" s="120"/>
      <c r="PGR88" s="120"/>
      <c r="PGS88" s="120"/>
      <c r="PGT88" s="120"/>
      <c r="PGU88" s="120"/>
      <c r="PGV88" s="120"/>
      <c r="PGW88" s="120"/>
      <c r="PGX88" s="120"/>
      <c r="PGY88" s="120"/>
      <c r="PGZ88" s="120"/>
      <c r="PHA88" s="120"/>
      <c r="PHB88" s="120"/>
      <c r="PHC88" s="120"/>
      <c r="PHD88" s="120"/>
      <c r="PHE88" s="120"/>
      <c r="PHF88" s="120"/>
      <c r="PHG88" s="120"/>
      <c r="PHH88" s="120"/>
      <c r="PHI88" s="120"/>
      <c r="PHJ88" s="120"/>
      <c r="PHK88" s="120"/>
      <c r="PHL88" s="120"/>
      <c r="PHM88" s="120"/>
      <c r="PHN88" s="120"/>
      <c r="PHO88" s="120"/>
      <c r="PHP88" s="120"/>
      <c r="PHQ88" s="120"/>
      <c r="PHR88" s="120"/>
      <c r="PHS88" s="120"/>
      <c r="PHT88" s="120"/>
      <c r="PHU88" s="120"/>
      <c r="PHV88" s="120"/>
      <c r="PHW88" s="120"/>
      <c r="PHX88" s="120"/>
      <c r="PHY88" s="120"/>
      <c r="PHZ88" s="120"/>
      <c r="PIA88" s="120"/>
      <c r="PIB88" s="120"/>
      <c r="PIC88" s="120"/>
      <c r="PID88" s="120"/>
      <c r="PIE88" s="120"/>
      <c r="PIF88" s="120"/>
      <c r="PIG88" s="120"/>
      <c r="PIH88" s="120"/>
      <c r="PII88" s="120"/>
      <c r="PIJ88" s="120"/>
      <c r="PIK88" s="120"/>
      <c r="PIL88" s="120"/>
      <c r="PIM88" s="120"/>
      <c r="PIN88" s="120"/>
      <c r="PIO88" s="120"/>
      <c r="PIP88" s="120"/>
      <c r="PIQ88" s="120"/>
      <c r="PIR88" s="120"/>
      <c r="PIS88" s="120"/>
      <c r="PIT88" s="120"/>
      <c r="PIU88" s="120"/>
      <c r="PIV88" s="120"/>
      <c r="PIW88" s="120"/>
      <c r="PIX88" s="120"/>
      <c r="PIY88" s="120"/>
      <c r="PIZ88" s="120"/>
      <c r="PJA88" s="120"/>
      <c r="PJB88" s="120"/>
      <c r="PJC88" s="120"/>
      <c r="PJD88" s="120"/>
      <c r="PJE88" s="120"/>
      <c r="PJF88" s="120"/>
      <c r="PJG88" s="120"/>
      <c r="PJH88" s="120"/>
      <c r="PJI88" s="120"/>
      <c r="PJJ88" s="120"/>
      <c r="PJK88" s="120"/>
      <c r="PJL88" s="120"/>
      <c r="PJM88" s="120"/>
      <c r="PJN88" s="120"/>
      <c r="PJO88" s="120"/>
      <c r="PJP88" s="120"/>
      <c r="PJQ88" s="120"/>
      <c r="PJR88" s="120"/>
      <c r="PJS88" s="120"/>
      <c r="PJT88" s="120"/>
      <c r="PJU88" s="120"/>
      <c r="PJV88" s="120"/>
      <c r="PJW88" s="120"/>
      <c r="PJX88" s="120"/>
      <c r="PJY88" s="120"/>
      <c r="PJZ88" s="120"/>
      <c r="PKA88" s="120"/>
      <c r="PKB88" s="120"/>
      <c r="PKC88" s="120"/>
      <c r="PKD88" s="120"/>
      <c r="PKE88" s="120"/>
      <c r="PKF88" s="120"/>
      <c r="PKG88" s="120"/>
      <c r="PKH88" s="120"/>
      <c r="PKI88" s="120"/>
      <c r="PKJ88" s="120"/>
      <c r="PKK88" s="120"/>
      <c r="PKL88" s="120"/>
      <c r="PKM88" s="120"/>
      <c r="PKN88" s="120"/>
      <c r="PKO88" s="120"/>
      <c r="PKP88" s="120"/>
      <c r="PKQ88" s="120"/>
      <c r="PKR88" s="120"/>
      <c r="PKS88" s="120"/>
      <c r="PKT88" s="120"/>
      <c r="PKU88" s="120"/>
      <c r="PKV88" s="120"/>
      <c r="PKW88" s="120"/>
      <c r="PKX88" s="120"/>
      <c r="PKY88" s="120"/>
      <c r="PKZ88" s="120"/>
      <c r="PLA88" s="120"/>
      <c r="PLB88" s="120"/>
      <c r="PLC88" s="120"/>
      <c r="PLD88" s="120"/>
      <c r="PLE88" s="120"/>
      <c r="PLF88" s="120"/>
      <c r="PLG88" s="120"/>
      <c r="PLH88" s="120"/>
      <c r="PLI88" s="120"/>
      <c r="PLJ88" s="120"/>
      <c r="PLK88" s="120"/>
      <c r="PLL88" s="120"/>
      <c r="PLM88" s="120"/>
      <c r="PLN88" s="120"/>
      <c r="PLO88" s="120"/>
      <c r="PLP88" s="120"/>
      <c r="PLQ88" s="120"/>
      <c r="PLR88" s="120"/>
      <c r="PLS88" s="120"/>
      <c r="PLT88" s="120"/>
      <c r="PLU88" s="120"/>
      <c r="PLV88" s="120"/>
      <c r="PLW88" s="120"/>
      <c r="PLX88" s="120"/>
      <c r="PLY88" s="120"/>
      <c r="PLZ88" s="120"/>
      <c r="PMA88" s="120"/>
      <c r="PMB88" s="120"/>
      <c r="PMC88" s="120"/>
      <c r="PMD88" s="120"/>
      <c r="PME88" s="120"/>
      <c r="PMF88" s="120"/>
      <c r="PMG88" s="120"/>
      <c r="PMH88" s="120"/>
      <c r="PMI88" s="120"/>
      <c r="PMJ88" s="120"/>
      <c r="PMK88" s="120"/>
      <c r="PML88" s="120"/>
      <c r="PMM88" s="120"/>
      <c r="PMN88" s="120"/>
      <c r="PMO88" s="120"/>
      <c r="PMP88" s="120"/>
      <c r="PMQ88" s="120"/>
      <c r="PMR88" s="120"/>
      <c r="PMS88" s="120"/>
      <c r="PMT88" s="120"/>
      <c r="PMU88" s="120"/>
      <c r="PMV88" s="120"/>
      <c r="PMW88" s="120"/>
      <c r="PMX88" s="120"/>
      <c r="PMY88" s="120"/>
      <c r="PMZ88" s="120"/>
      <c r="PNA88" s="120"/>
      <c r="PNB88" s="120"/>
      <c r="PNC88" s="120"/>
      <c r="PND88" s="120"/>
      <c r="PNE88" s="120"/>
      <c r="PNF88" s="120"/>
      <c r="PNG88" s="120"/>
      <c r="PNH88" s="120"/>
      <c r="PNI88" s="120"/>
      <c r="PNJ88" s="120"/>
      <c r="PNK88" s="120"/>
      <c r="PNL88" s="120"/>
      <c r="PNM88" s="120"/>
      <c r="PNN88" s="120"/>
      <c r="PNO88" s="120"/>
      <c r="PNP88" s="120"/>
      <c r="PNQ88" s="120"/>
      <c r="PNR88" s="120"/>
      <c r="PNS88" s="120"/>
      <c r="PNT88" s="120"/>
      <c r="PNU88" s="120"/>
      <c r="PNV88" s="120"/>
      <c r="PNW88" s="120"/>
      <c r="PNX88" s="120"/>
      <c r="PNY88" s="120"/>
      <c r="PNZ88" s="120"/>
      <c r="POA88" s="120"/>
      <c r="POB88" s="120"/>
      <c r="POC88" s="120"/>
      <c r="POD88" s="120"/>
      <c r="POE88" s="120"/>
      <c r="POF88" s="120"/>
      <c r="POG88" s="120"/>
      <c r="POH88" s="120"/>
      <c r="POI88" s="120"/>
      <c r="POJ88" s="120"/>
      <c r="POK88" s="120"/>
      <c r="POL88" s="120"/>
      <c r="POM88" s="120"/>
      <c r="PON88" s="120"/>
      <c r="POO88" s="120"/>
      <c r="POP88" s="120"/>
      <c r="POQ88" s="120"/>
      <c r="POR88" s="120"/>
      <c r="POS88" s="120"/>
      <c r="POT88" s="120"/>
      <c r="POU88" s="120"/>
      <c r="POV88" s="120"/>
      <c r="POW88" s="120"/>
      <c r="POX88" s="120"/>
      <c r="POY88" s="120"/>
      <c r="POZ88" s="120"/>
      <c r="PPA88" s="120"/>
      <c r="PPB88" s="120"/>
      <c r="PPC88" s="120"/>
      <c r="PPD88" s="120"/>
      <c r="PPE88" s="120"/>
      <c r="PPF88" s="120"/>
      <c r="PPG88" s="120"/>
      <c r="PPH88" s="120"/>
      <c r="PPI88" s="120"/>
      <c r="PPJ88" s="120"/>
      <c r="PPK88" s="120"/>
      <c r="PPL88" s="120"/>
      <c r="PPM88" s="120"/>
      <c r="PPN88" s="120"/>
      <c r="PPO88" s="120"/>
      <c r="PPP88" s="120"/>
      <c r="PPQ88" s="120"/>
      <c r="PPR88" s="120"/>
      <c r="PPS88" s="120"/>
      <c r="PPT88" s="120"/>
      <c r="PPU88" s="120"/>
      <c r="PPV88" s="120"/>
      <c r="PPW88" s="120"/>
      <c r="PPX88" s="120"/>
      <c r="PPY88" s="120"/>
      <c r="PPZ88" s="120"/>
      <c r="PQA88" s="120"/>
      <c r="PQB88" s="120"/>
      <c r="PQC88" s="120"/>
      <c r="PQD88" s="120"/>
      <c r="PQE88" s="120"/>
      <c r="PQF88" s="120"/>
      <c r="PQG88" s="120"/>
      <c r="PQH88" s="120"/>
      <c r="PQI88" s="120"/>
      <c r="PQJ88" s="120"/>
      <c r="PQK88" s="120"/>
      <c r="PQL88" s="120"/>
      <c r="PQM88" s="120"/>
      <c r="PQN88" s="120"/>
      <c r="PQO88" s="120"/>
      <c r="PQP88" s="120"/>
      <c r="PQQ88" s="120"/>
      <c r="PQR88" s="120"/>
      <c r="PQS88" s="120"/>
      <c r="PQT88" s="120"/>
      <c r="PQU88" s="120"/>
      <c r="PQV88" s="120"/>
      <c r="PQW88" s="120"/>
      <c r="PQX88" s="120"/>
      <c r="PQY88" s="120"/>
      <c r="PQZ88" s="120"/>
      <c r="PRA88" s="120"/>
      <c r="PRB88" s="120"/>
      <c r="PRC88" s="120"/>
      <c r="PRD88" s="120"/>
      <c r="PRE88" s="120"/>
      <c r="PRF88" s="120"/>
      <c r="PRG88" s="120"/>
      <c r="PRH88" s="120"/>
      <c r="PRI88" s="120"/>
      <c r="PRJ88" s="120"/>
      <c r="PRK88" s="120"/>
      <c r="PRL88" s="120"/>
      <c r="PRM88" s="120"/>
      <c r="PRN88" s="120"/>
      <c r="PRO88" s="120"/>
      <c r="PRP88" s="120"/>
      <c r="PRQ88" s="120"/>
      <c r="PRR88" s="120"/>
      <c r="PRS88" s="120"/>
      <c r="PRT88" s="120"/>
      <c r="PRU88" s="120"/>
      <c r="PRV88" s="120"/>
      <c r="PRW88" s="120"/>
      <c r="PRX88" s="120"/>
      <c r="PRY88" s="120"/>
      <c r="PRZ88" s="120"/>
      <c r="PSA88" s="120"/>
      <c r="PSB88" s="120"/>
      <c r="PSC88" s="120"/>
      <c r="PSD88" s="120"/>
      <c r="PSE88" s="120"/>
      <c r="PSF88" s="120"/>
      <c r="PSG88" s="120"/>
      <c r="PSH88" s="120"/>
      <c r="PSI88" s="120"/>
      <c r="PSJ88" s="120"/>
      <c r="PSK88" s="120"/>
      <c r="PSL88" s="120"/>
      <c r="PSM88" s="120"/>
      <c r="PSN88" s="120"/>
      <c r="PSO88" s="120"/>
      <c r="PSP88" s="120"/>
      <c r="PSQ88" s="120"/>
      <c r="PSR88" s="120"/>
      <c r="PSS88" s="120"/>
      <c r="PST88" s="120"/>
      <c r="PSU88" s="120"/>
      <c r="PSV88" s="120"/>
      <c r="PSW88" s="120"/>
      <c r="PSX88" s="120"/>
      <c r="PSY88" s="120"/>
      <c r="PSZ88" s="120"/>
      <c r="PTA88" s="120"/>
      <c r="PTB88" s="120"/>
      <c r="PTC88" s="120"/>
      <c r="PTD88" s="120"/>
      <c r="PTE88" s="120"/>
      <c r="PTF88" s="120"/>
      <c r="PTG88" s="120"/>
      <c r="PTH88" s="120"/>
      <c r="PTI88" s="120"/>
      <c r="PTJ88" s="120"/>
      <c r="PTK88" s="120"/>
      <c r="PTL88" s="120"/>
      <c r="PTM88" s="120"/>
      <c r="PTN88" s="120"/>
      <c r="PTO88" s="120"/>
      <c r="PTP88" s="120"/>
      <c r="PTQ88" s="120"/>
      <c r="PTR88" s="120"/>
      <c r="PTS88" s="120"/>
      <c r="PTT88" s="120"/>
      <c r="PTU88" s="120"/>
      <c r="PTV88" s="120"/>
      <c r="PTW88" s="120"/>
      <c r="PTX88" s="120"/>
      <c r="PTY88" s="120"/>
      <c r="PTZ88" s="120"/>
      <c r="PUA88" s="120"/>
      <c r="PUB88" s="120"/>
      <c r="PUC88" s="120"/>
      <c r="PUD88" s="120"/>
      <c r="PUE88" s="120"/>
      <c r="PUF88" s="120"/>
      <c r="PUG88" s="120"/>
      <c r="PUH88" s="120"/>
      <c r="PUI88" s="120"/>
      <c r="PUJ88" s="120"/>
      <c r="PUK88" s="120"/>
      <c r="PUL88" s="120"/>
      <c r="PUM88" s="120"/>
      <c r="PUN88" s="120"/>
      <c r="PUO88" s="120"/>
      <c r="PUP88" s="120"/>
      <c r="PUQ88" s="120"/>
      <c r="PUR88" s="120"/>
      <c r="PUS88" s="120"/>
      <c r="PUT88" s="120"/>
      <c r="PUU88" s="120"/>
      <c r="PUV88" s="120"/>
      <c r="PUW88" s="120"/>
      <c r="PUX88" s="120"/>
      <c r="PUY88" s="120"/>
      <c r="PUZ88" s="120"/>
      <c r="PVA88" s="120"/>
      <c r="PVB88" s="120"/>
      <c r="PVC88" s="120"/>
      <c r="PVD88" s="120"/>
      <c r="PVE88" s="120"/>
      <c r="PVF88" s="120"/>
      <c r="PVG88" s="120"/>
      <c r="PVH88" s="120"/>
      <c r="PVI88" s="120"/>
      <c r="PVJ88" s="120"/>
      <c r="PVK88" s="120"/>
      <c r="PVL88" s="120"/>
      <c r="PVM88" s="120"/>
      <c r="PVN88" s="120"/>
      <c r="PVO88" s="120"/>
      <c r="PVP88" s="120"/>
      <c r="PVQ88" s="120"/>
      <c r="PVR88" s="120"/>
      <c r="PVS88" s="120"/>
      <c r="PVT88" s="120"/>
      <c r="PVU88" s="120"/>
      <c r="PVV88" s="120"/>
      <c r="PVW88" s="120"/>
      <c r="PVX88" s="120"/>
      <c r="PVY88" s="120"/>
      <c r="PVZ88" s="120"/>
      <c r="PWA88" s="120"/>
      <c r="PWB88" s="120"/>
      <c r="PWC88" s="120"/>
      <c r="PWD88" s="120"/>
      <c r="PWE88" s="120"/>
      <c r="PWF88" s="120"/>
      <c r="PWG88" s="120"/>
      <c r="PWH88" s="120"/>
      <c r="PWI88" s="120"/>
      <c r="PWJ88" s="120"/>
      <c r="PWK88" s="120"/>
      <c r="PWL88" s="120"/>
      <c r="PWM88" s="120"/>
      <c r="PWN88" s="120"/>
      <c r="PWO88" s="120"/>
      <c r="PWP88" s="120"/>
      <c r="PWQ88" s="120"/>
      <c r="PWR88" s="120"/>
      <c r="PWS88" s="120"/>
      <c r="PWT88" s="120"/>
      <c r="PWU88" s="120"/>
      <c r="PWV88" s="120"/>
      <c r="PWW88" s="120"/>
      <c r="PWX88" s="120"/>
      <c r="PWY88" s="120"/>
      <c r="PWZ88" s="120"/>
      <c r="PXA88" s="120"/>
      <c r="PXB88" s="120"/>
      <c r="PXC88" s="120"/>
      <c r="PXD88" s="120"/>
      <c r="PXE88" s="120"/>
      <c r="PXF88" s="120"/>
      <c r="PXG88" s="120"/>
      <c r="PXH88" s="120"/>
      <c r="PXI88" s="120"/>
      <c r="PXJ88" s="120"/>
      <c r="PXK88" s="120"/>
      <c r="PXL88" s="120"/>
      <c r="PXM88" s="120"/>
      <c r="PXN88" s="120"/>
      <c r="PXO88" s="120"/>
      <c r="PXP88" s="120"/>
      <c r="PXQ88" s="120"/>
      <c r="PXR88" s="120"/>
      <c r="PXS88" s="120"/>
      <c r="PXT88" s="120"/>
      <c r="PXU88" s="120"/>
      <c r="PXV88" s="120"/>
      <c r="PXW88" s="120"/>
      <c r="PXX88" s="120"/>
      <c r="PXY88" s="120"/>
      <c r="PXZ88" s="120"/>
      <c r="PYA88" s="120"/>
      <c r="PYB88" s="120"/>
      <c r="PYC88" s="120"/>
      <c r="PYD88" s="120"/>
      <c r="PYE88" s="120"/>
      <c r="PYF88" s="120"/>
      <c r="PYG88" s="120"/>
      <c r="PYH88" s="120"/>
      <c r="PYI88" s="120"/>
      <c r="PYJ88" s="120"/>
      <c r="PYK88" s="120"/>
      <c r="PYL88" s="120"/>
      <c r="PYM88" s="120"/>
      <c r="PYN88" s="120"/>
      <c r="PYO88" s="120"/>
      <c r="PYP88" s="120"/>
      <c r="PYQ88" s="120"/>
      <c r="PYR88" s="120"/>
      <c r="PYS88" s="120"/>
      <c r="PYT88" s="120"/>
      <c r="PYU88" s="120"/>
      <c r="PYV88" s="120"/>
      <c r="PYW88" s="120"/>
      <c r="PYX88" s="120"/>
      <c r="PYY88" s="120"/>
      <c r="PYZ88" s="120"/>
      <c r="PZA88" s="120"/>
      <c r="PZB88" s="120"/>
      <c r="PZC88" s="120"/>
      <c r="PZD88" s="120"/>
      <c r="PZE88" s="120"/>
      <c r="PZF88" s="120"/>
      <c r="PZG88" s="120"/>
      <c r="PZH88" s="120"/>
      <c r="PZI88" s="120"/>
      <c r="PZJ88" s="120"/>
      <c r="PZK88" s="120"/>
      <c r="PZL88" s="120"/>
      <c r="PZM88" s="120"/>
      <c r="PZN88" s="120"/>
      <c r="PZO88" s="120"/>
      <c r="PZP88" s="120"/>
      <c r="PZQ88" s="120"/>
      <c r="PZR88" s="120"/>
      <c r="PZS88" s="120"/>
      <c r="PZT88" s="120"/>
      <c r="PZU88" s="120"/>
      <c r="PZV88" s="120"/>
      <c r="PZW88" s="120"/>
      <c r="PZX88" s="120"/>
      <c r="PZY88" s="120"/>
      <c r="PZZ88" s="120"/>
      <c r="QAA88" s="120"/>
      <c r="QAB88" s="120"/>
      <c r="QAC88" s="120"/>
      <c r="QAD88" s="120"/>
      <c r="QAE88" s="120"/>
      <c r="QAF88" s="120"/>
      <c r="QAG88" s="120"/>
      <c r="QAH88" s="120"/>
      <c r="QAI88" s="120"/>
      <c r="QAJ88" s="120"/>
      <c r="QAK88" s="120"/>
      <c r="QAL88" s="120"/>
      <c r="QAM88" s="120"/>
      <c r="QAN88" s="120"/>
      <c r="QAO88" s="120"/>
      <c r="QAP88" s="120"/>
      <c r="QAQ88" s="120"/>
      <c r="QAR88" s="120"/>
      <c r="QAS88" s="120"/>
      <c r="QAT88" s="120"/>
      <c r="QAU88" s="120"/>
      <c r="QAV88" s="120"/>
      <c r="QAW88" s="120"/>
      <c r="QAX88" s="120"/>
      <c r="QAY88" s="120"/>
      <c r="QAZ88" s="120"/>
      <c r="QBA88" s="120"/>
      <c r="QBB88" s="120"/>
      <c r="QBC88" s="120"/>
      <c r="QBD88" s="120"/>
      <c r="QBE88" s="120"/>
      <c r="QBF88" s="120"/>
      <c r="QBG88" s="120"/>
      <c r="QBH88" s="120"/>
      <c r="QBI88" s="120"/>
      <c r="QBJ88" s="120"/>
      <c r="QBK88" s="120"/>
      <c r="QBL88" s="120"/>
      <c r="QBM88" s="120"/>
      <c r="QBN88" s="120"/>
      <c r="QBO88" s="120"/>
      <c r="QBP88" s="120"/>
      <c r="QBQ88" s="120"/>
      <c r="QBR88" s="120"/>
      <c r="QBS88" s="120"/>
      <c r="QBT88" s="120"/>
      <c r="QBU88" s="120"/>
      <c r="QBV88" s="120"/>
      <c r="QBW88" s="120"/>
      <c r="QBX88" s="120"/>
      <c r="QBY88" s="120"/>
      <c r="QBZ88" s="120"/>
      <c r="QCA88" s="120"/>
      <c r="QCB88" s="120"/>
      <c r="QCC88" s="120"/>
      <c r="QCD88" s="120"/>
      <c r="QCE88" s="120"/>
      <c r="QCF88" s="120"/>
      <c r="QCG88" s="120"/>
      <c r="QCH88" s="120"/>
      <c r="QCI88" s="120"/>
      <c r="QCJ88" s="120"/>
      <c r="QCK88" s="120"/>
      <c r="QCL88" s="120"/>
      <c r="QCM88" s="120"/>
      <c r="QCN88" s="120"/>
      <c r="QCO88" s="120"/>
      <c r="QCP88" s="120"/>
      <c r="QCQ88" s="120"/>
      <c r="QCR88" s="120"/>
      <c r="QCS88" s="120"/>
      <c r="QCT88" s="120"/>
      <c r="QCU88" s="120"/>
      <c r="QCV88" s="120"/>
      <c r="QCW88" s="120"/>
      <c r="QCX88" s="120"/>
      <c r="QCY88" s="120"/>
      <c r="QCZ88" s="120"/>
      <c r="QDA88" s="120"/>
      <c r="QDB88" s="120"/>
      <c r="QDC88" s="120"/>
      <c r="QDD88" s="120"/>
      <c r="QDE88" s="120"/>
      <c r="QDF88" s="120"/>
      <c r="QDG88" s="120"/>
      <c r="QDH88" s="120"/>
      <c r="QDI88" s="120"/>
      <c r="QDJ88" s="120"/>
      <c r="QDK88" s="120"/>
      <c r="QDL88" s="120"/>
      <c r="QDM88" s="120"/>
      <c r="QDN88" s="120"/>
      <c r="QDO88" s="120"/>
      <c r="QDP88" s="120"/>
      <c r="QDQ88" s="120"/>
      <c r="QDR88" s="120"/>
      <c r="QDS88" s="120"/>
      <c r="QDT88" s="120"/>
      <c r="QDU88" s="120"/>
      <c r="QDV88" s="120"/>
      <c r="QDW88" s="120"/>
      <c r="QDX88" s="120"/>
      <c r="QDY88" s="120"/>
      <c r="QDZ88" s="120"/>
      <c r="QEA88" s="120"/>
      <c r="QEB88" s="120"/>
      <c r="QEC88" s="120"/>
      <c r="QED88" s="120"/>
      <c r="QEE88" s="120"/>
      <c r="QEF88" s="120"/>
      <c r="QEG88" s="120"/>
      <c r="QEH88" s="120"/>
      <c r="QEI88" s="120"/>
      <c r="QEJ88" s="120"/>
      <c r="QEK88" s="120"/>
      <c r="QEL88" s="120"/>
      <c r="QEM88" s="120"/>
      <c r="QEN88" s="120"/>
      <c r="QEO88" s="120"/>
      <c r="QEP88" s="120"/>
      <c r="QEQ88" s="120"/>
      <c r="QER88" s="120"/>
      <c r="QES88" s="120"/>
      <c r="QET88" s="120"/>
      <c r="QEU88" s="120"/>
      <c r="QEV88" s="120"/>
      <c r="QEW88" s="120"/>
      <c r="QEX88" s="120"/>
      <c r="QEY88" s="120"/>
      <c r="QEZ88" s="120"/>
      <c r="QFA88" s="120"/>
      <c r="QFB88" s="120"/>
      <c r="QFC88" s="120"/>
      <c r="QFD88" s="120"/>
      <c r="QFE88" s="120"/>
      <c r="QFF88" s="120"/>
      <c r="QFG88" s="120"/>
      <c r="QFH88" s="120"/>
      <c r="QFI88" s="120"/>
      <c r="QFJ88" s="120"/>
      <c r="QFK88" s="120"/>
      <c r="QFL88" s="120"/>
      <c r="QFM88" s="120"/>
      <c r="QFN88" s="120"/>
      <c r="QFO88" s="120"/>
      <c r="QFP88" s="120"/>
      <c r="QFQ88" s="120"/>
      <c r="QFR88" s="120"/>
      <c r="QFS88" s="120"/>
      <c r="QFT88" s="120"/>
      <c r="QFU88" s="120"/>
      <c r="QFV88" s="120"/>
      <c r="QFW88" s="120"/>
      <c r="QFX88" s="120"/>
      <c r="QFY88" s="120"/>
      <c r="QFZ88" s="120"/>
      <c r="QGA88" s="120"/>
      <c r="QGB88" s="120"/>
      <c r="QGC88" s="120"/>
      <c r="QGD88" s="120"/>
      <c r="QGE88" s="120"/>
      <c r="QGF88" s="120"/>
      <c r="QGG88" s="120"/>
      <c r="QGH88" s="120"/>
      <c r="QGI88" s="120"/>
      <c r="QGJ88" s="120"/>
      <c r="QGK88" s="120"/>
      <c r="QGL88" s="120"/>
      <c r="QGM88" s="120"/>
      <c r="QGN88" s="120"/>
      <c r="QGO88" s="120"/>
      <c r="QGP88" s="120"/>
      <c r="QGQ88" s="120"/>
      <c r="QGR88" s="120"/>
      <c r="QGS88" s="120"/>
      <c r="QGT88" s="120"/>
      <c r="QGU88" s="120"/>
      <c r="QGV88" s="120"/>
      <c r="QGW88" s="120"/>
      <c r="QGX88" s="120"/>
      <c r="QGY88" s="120"/>
      <c r="QGZ88" s="120"/>
      <c r="QHA88" s="120"/>
      <c r="QHB88" s="120"/>
      <c r="QHC88" s="120"/>
      <c r="QHD88" s="120"/>
      <c r="QHE88" s="120"/>
      <c r="QHF88" s="120"/>
      <c r="QHG88" s="120"/>
      <c r="QHH88" s="120"/>
      <c r="QHI88" s="120"/>
      <c r="QHJ88" s="120"/>
      <c r="QHK88" s="120"/>
      <c r="QHL88" s="120"/>
      <c r="QHM88" s="120"/>
      <c r="QHN88" s="120"/>
      <c r="QHO88" s="120"/>
      <c r="QHP88" s="120"/>
      <c r="QHQ88" s="120"/>
      <c r="QHR88" s="120"/>
      <c r="QHS88" s="120"/>
      <c r="QHT88" s="120"/>
      <c r="QHU88" s="120"/>
      <c r="QHV88" s="120"/>
      <c r="QHW88" s="120"/>
      <c r="QHX88" s="120"/>
      <c r="QHY88" s="120"/>
      <c r="QHZ88" s="120"/>
      <c r="QIA88" s="120"/>
      <c r="QIB88" s="120"/>
      <c r="QIC88" s="120"/>
      <c r="QID88" s="120"/>
      <c r="QIE88" s="120"/>
      <c r="QIF88" s="120"/>
      <c r="QIG88" s="120"/>
      <c r="QIH88" s="120"/>
      <c r="QII88" s="120"/>
      <c r="QIJ88" s="120"/>
      <c r="QIK88" s="120"/>
      <c r="QIL88" s="120"/>
      <c r="QIM88" s="120"/>
      <c r="QIN88" s="120"/>
      <c r="QIO88" s="120"/>
      <c r="QIP88" s="120"/>
      <c r="QIQ88" s="120"/>
      <c r="QIR88" s="120"/>
      <c r="QIS88" s="120"/>
      <c r="QIT88" s="120"/>
      <c r="QIU88" s="120"/>
      <c r="QIV88" s="120"/>
      <c r="QIW88" s="120"/>
      <c r="QIX88" s="120"/>
      <c r="QIY88" s="120"/>
      <c r="QIZ88" s="120"/>
      <c r="QJA88" s="120"/>
      <c r="QJB88" s="120"/>
      <c r="QJC88" s="120"/>
      <c r="QJD88" s="120"/>
      <c r="QJE88" s="120"/>
      <c r="QJF88" s="120"/>
      <c r="QJG88" s="120"/>
      <c r="QJH88" s="120"/>
      <c r="QJI88" s="120"/>
      <c r="QJJ88" s="120"/>
      <c r="QJK88" s="120"/>
      <c r="QJL88" s="120"/>
      <c r="QJM88" s="120"/>
      <c r="QJN88" s="120"/>
      <c r="QJO88" s="120"/>
      <c r="QJP88" s="120"/>
      <c r="QJQ88" s="120"/>
      <c r="QJR88" s="120"/>
      <c r="QJS88" s="120"/>
      <c r="QJT88" s="120"/>
      <c r="QJU88" s="120"/>
      <c r="QJV88" s="120"/>
      <c r="QJW88" s="120"/>
      <c r="QJX88" s="120"/>
      <c r="QJY88" s="120"/>
      <c r="QJZ88" s="120"/>
      <c r="QKA88" s="120"/>
      <c r="QKB88" s="120"/>
      <c r="QKC88" s="120"/>
      <c r="QKD88" s="120"/>
      <c r="QKE88" s="120"/>
      <c r="QKF88" s="120"/>
      <c r="QKG88" s="120"/>
      <c r="QKH88" s="120"/>
      <c r="QKI88" s="120"/>
      <c r="QKJ88" s="120"/>
      <c r="QKK88" s="120"/>
      <c r="QKL88" s="120"/>
      <c r="QKM88" s="120"/>
      <c r="QKN88" s="120"/>
      <c r="QKO88" s="120"/>
      <c r="QKP88" s="120"/>
      <c r="QKQ88" s="120"/>
      <c r="QKR88" s="120"/>
      <c r="QKS88" s="120"/>
      <c r="QKT88" s="120"/>
      <c r="QKU88" s="120"/>
      <c r="QKV88" s="120"/>
      <c r="QKW88" s="120"/>
      <c r="QKX88" s="120"/>
      <c r="QKY88" s="120"/>
      <c r="QKZ88" s="120"/>
      <c r="QLA88" s="120"/>
      <c r="QLB88" s="120"/>
      <c r="QLC88" s="120"/>
      <c r="QLD88" s="120"/>
      <c r="QLE88" s="120"/>
      <c r="QLF88" s="120"/>
      <c r="QLG88" s="120"/>
      <c r="QLH88" s="120"/>
      <c r="QLI88" s="120"/>
      <c r="QLJ88" s="120"/>
      <c r="QLK88" s="120"/>
      <c r="QLL88" s="120"/>
      <c r="QLM88" s="120"/>
      <c r="QLN88" s="120"/>
      <c r="QLO88" s="120"/>
      <c r="QLP88" s="120"/>
      <c r="QLQ88" s="120"/>
      <c r="QLR88" s="120"/>
      <c r="QLS88" s="120"/>
      <c r="QLT88" s="120"/>
      <c r="QLU88" s="120"/>
      <c r="QLV88" s="120"/>
      <c r="QLW88" s="120"/>
      <c r="QLX88" s="120"/>
      <c r="QLY88" s="120"/>
      <c r="QLZ88" s="120"/>
      <c r="QMA88" s="120"/>
      <c r="QMB88" s="120"/>
      <c r="QMC88" s="120"/>
      <c r="QMD88" s="120"/>
      <c r="QME88" s="120"/>
      <c r="QMF88" s="120"/>
      <c r="QMG88" s="120"/>
      <c r="QMH88" s="120"/>
      <c r="QMI88" s="120"/>
      <c r="QMJ88" s="120"/>
      <c r="QMK88" s="120"/>
      <c r="QML88" s="120"/>
      <c r="QMM88" s="120"/>
      <c r="QMN88" s="120"/>
      <c r="QMO88" s="120"/>
      <c r="QMP88" s="120"/>
      <c r="QMQ88" s="120"/>
      <c r="QMR88" s="120"/>
      <c r="QMS88" s="120"/>
      <c r="QMT88" s="120"/>
      <c r="QMU88" s="120"/>
      <c r="QMV88" s="120"/>
      <c r="QMW88" s="120"/>
      <c r="QMX88" s="120"/>
      <c r="QMY88" s="120"/>
      <c r="QMZ88" s="120"/>
      <c r="QNA88" s="120"/>
      <c r="QNB88" s="120"/>
      <c r="QNC88" s="120"/>
      <c r="QND88" s="120"/>
      <c r="QNE88" s="120"/>
      <c r="QNF88" s="120"/>
      <c r="QNG88" s="120"/>
      <c r="QNH88" s="120"/>
      <c r="QNI88" s="120"/>
      <c r="QNJ88" s="120"/>
      <c r="QNK88" s="120"/>
      <c r="QNL88" s="120"/>
      <c r="QNM88" s="120"/>
      <c r="QNN88" s="120"/>
      <c r="QNO88" s="120"/>
      <c r="QNP88" s="120"/>
      <c r="QNQ88" s="120"/>
      <c r="QNR88" s="120"/>
      <c r="QNS88" s="120"/>
      <c r="QNT88" s="120"/>
      <c r="QNU88" s="120"/>
      <c r="QNV88" s="120"/>
      <c r="QNW88" s="120"/>
      <c r="QNX88" s="120"/>
      <c r="QNY88" s="120"/>
      <c r="QNZ88" s="120"/>
      <c r="QOA88" s="120"/>
      <c r="QOB88" s="120"/>
      <c r="QOC88" s="120"/>
      <c r="QOD88" s="120"/>
      <c r="QOE88" s="120"/>
      <c r="QOF88" s="120"/>
      <c r="QOG88" s="120"/>
      <c r="QOH88" s="120"/>
      <c r="QOI88" s="120"/>
      <c r="QOJ88" s="120"/>
      <c r="QOK88" s="120"/>
      <c r="QOL88" s="120"/>
      <c r="QOM88" s="120"/>
      <c r="QON88" s="120"/>
      <c r="QOO88" s="120"/>
      <c r="QOP88" s="120"/>
      <c r="QOQ88" s="120"/>
      <c r="QOR88" s="120"/>
      <c r="QOS88" s="120"/>
      <c r="QOT88" s="120"/>
      <c r="QOU88" s="120"/>
      <c r="QOV88" s="120"/>
      <c r="QOW88" s="120"/>
      <c r="QOX88" s="120"/>
      <c r="QOY88" s="120"/>
      <c r="QOZ88" s="120"/>
      <c r="QPA88" s="120"/>
      <c r="QPB88" s="120"/>
      <c r="QPC88" s="120"/>
      <c r="QPD88" s="120"/>
      <c r="QPE88" s="120"/>
      <c r="QPF88" s="120"/>
      <c r="QPG88" s="120"/>
      <c r="QPH88" s="120"/>
      <c r="QPI88" s="120"/>
      <c r="QPJ88" s="120"/>
      <c r="QPK88" s="120"/>
      <c r="QPL88" s="120"/>
      <c r="QPM88" s="120"/>
      <c r="QPN88" s="120"/>
      <c r="QPO88" s="120"/>
      <c r="QPP88" s="120"/>
      <c r="QPQ88" s="120"/>
      <c r="QPR88" s="120"/>
      <c r="QPS88" s="120"/>
      <c r="QPT88" s="120"/>
      <c r="QPU88" s="120"/>
      <c r="QPV88" s="120"/>
      <c r="QPW88" s="120"/>
      <c r="QPX88" s="120"/>
      <c r="QPY88" s="120"/>
      <c r="QPZ88" s="120"/>
      <c r="QQA88" s="120"/>
      <c r="QQB88" s="120"/>
      <c r="QQC88" s="120"/>
      <c r="QQD88" s="120"/>
      <c r="QQE88" s="120"/>
      <c r="QQF88" s="120"/>
      <c r="QQG88" s="120"/>
      <c r="QQH88" s="120"/>
      <c r="QQI88" s="120"/>
      <c r="QQJ88" s="120"/>
      <c r="QQK88" s="120"/>
      <c r="QQL88" s="120"/>
      <c r="QQM88" s="120"/>
      <c r="QQN88" s="120"/>
      <c r="QQO88" s="120"/>
      <c r="QQP88" s="120"/>
      <c r="QQQ88" s="120"/>
      <c r="QQR88" s="120"/>
      <c r="QQS88" s="120"/>
      <c r="QQT88" s="120"/>
      <c r="QQU88" s="120"/>
      <c r="QQV88" s="120"/>
      <c r="QQW88" s="120"/>
      <c r="QQX88" s="120"/>
      <c r="QQY88" s="120"/>
      <c r="QQZ88" s="120"/>
      <c r="QRA88" s="120"/>
      <c r="QRB88" s="120"/>
      <c r="QRC88" s="120"/>
      <c r="QRD88" s="120"/>
      <c r="QRE88" s="120"/>
      <c r="QRF88" s="120"/>
      <c r="QRG88" s="120"/>
      <c r="QRH88" s="120"/>
      <c r="QRI88" s="120"/>
      <c r="QRJ88" s="120"/>
      <c r="QRK88" s="120"/>
      <c r="QRL88" s="120"/>
      <c r="QRM88" s="120"/>
      <c r="QRN88" s="120"/>
      <c r="QRO88" s="120"/>
      <c r="QRP88" s="120"/>
      <c r="QRQ88" s="120"/>
      <c r="QRR88" s="120"/>
      <c r="QRS88" s="120"/>
      <c r="QRT88" s="120"/>
      <c r="QRU88" s="120"/>
      <c r="QRV88" s="120"/>
      <c r="QRW88" s="120"/>
      <c r="QRX88" s="120"/>
      <c r="QRY88" s="120"/>
      <c r="QRZ88" s="120"/>
      <c r="QSA88" s="120"/>
      <c r="QSB88" s="120"/>
      <c r="QSC88" s="120"/>
      <c r="QSD88" s="120"/>
      <c r="QSE88" s="120"/>
      <c r="QSF88" s="120"/>
      <c r="QSG88" s="120"/>
      <c r="QSH88" s="120"/>
      <c r="QSI88" s="120"/>
      <c r="QSJ88" s="120"/>
      <c r="QSK88" s="120"/>
      <c r="QSL88" s="120"/>
      <c r="QSM88" s="120"/>
      <c r="QSN88" s="120"/>
      <c r="QSO88" s="120"/>
      <c r="QSP88" s="120"/>
      <c r="QSQ88" s="120"/>
      <c r="QSR88" s="120"/>
      <c r="QSS88" s="120"/>
      <c r="QST88" s="120"/>
      <c r="QSU88" s="120"/>
      <c r="QSV88" s="120"/>
      <c r="QSW88" s="120"/>
      <c r="QSX88" s="120"/>
      <c r="QSY88" s="120"/>
      <c r="QSZ88" s="120"/>
      <c r="QTA88" s="120"/>
      <c r="QTB88" s="120"/>
      <c r="QTC88" s="120"/>
      <c r="QTD88" s="120"/>
      <c r="QTE88" s="120"/>
      <c r="QTF88" s="120"/>
      <c r="QTG88" s="120"/>
      <c r="QTH88" s="120"/>
      <c r="QTI88" s="120"/>
      <c r="QTJ88" s="120"/>
      <c r="QTK88" s="120"/>
      <c r="QTL88" s="120"/>
      <c r="QTM88" s="120"/>
      <c r="QTN88" s="120"/>
      <c r="QTO88" s="120"/>
      <c r="QTP88" s="120"/>
      <c r="QTQ88" s="120"/>
      <c r="QTR88" s="120"/>
      <c r="QTS88" s="120"/>
      <c r="QTT88" s="120"/>
      <c r="QTU88" s="120"/>
      <c r="QTV88" s="120"/>
      <c r="QTW88" s="120"/>
      <c r="QTX88" s="120"/>
      <c r="QTY88" s="120"/>
      <c r="QTZ88" s="120"/>
      <c r="QUA88" s="120"/>
      <c r="QUB88" s="120"/>
      <c r="QUC88" s="120"/>
      <c r="QUD88" s="120"/>
      <c r="QUE88" s="120"/>
      <c r="QUF88" s="120"/>
      <c r="QUG88" s="120"/>
      <c r="QUH88" s="120"/>
      <c r="QUI88" s="120"/>
      <c r="QUJ88" s="120"/>
      <c r="QUK88" s="120"/>
      <c r="QUL88" s="120"/>
      <c r="QUM88" s="120"/>
      <c r="QUN88" s="120"/>
      <c r="QUO88" s="120"/>
      <c r="QUP88" s="120"/>
      <c r="QUQ88" s="120"/>
      <c r="QUR88" s="120"/>
      <c r="QUS88" s="120"/>
      <c r="QUT88" s="120"/>
      <c r="QUU88" s="120"/>
      <c r="QUV88" s="120"/>
      <c r="QUW88" s="120"/>
      <c r="QUX88" s="120"/>
      <c r="QUY88" s="120"/>
      <c r="QUZ88" s="120"/>
      <c r="QVA88" s="120"/>
      <c r="QVB88" s="120"/>
      <c r="QVC88" s="120"/>
      <c r="QVD88" s="120"/>
      <c r="QVE88" s="120"/>
      <c r="QVF88" s="120"/>
      <c r="QVG88" s="120"/>
      <c r="QVH88" s="120"/>
      <c r="QVI88" s="120"/>
      <c r="QVJ88" s="120"/>
      <c r="QVK88" s="120"/>
      <c r="QVL88" s="120"/>
      <c r="QVM88" s="120"/>
      <c r="QVN88" s="120"/>
      <c r="QVO88" s="120"/>
      <c r="QVP88" s="120"/>
      <c r="QVQ88" s="120"/>
      <c r="QVR88" s="120"/>
      <c r="QVS88" s="120"/>
      <c r="QVT88" s="120"/>
      <c r="QVU88" s="120"/>
      <c r="QVV88" s="120"/>
      <c r="QVW88" s="120"/>
      <c r="QVX88" s="120"/>
      <c r="QVY88" s="120"/>
      <c r="QVZ88" s="120"/>
      <c r="QWA88" s="120"/>
      <c r="QWB88" s="120"/>
      <c r="QWC88" s="120"/>
      <c r="QWD88" s="120"/>
      <c r="QWE88" s="120"/>
      <c r="QWF88" s="120"/>
      <c r="QWG88" s="120"/>
      <c r="QWH88" s="120"/>
      <c r="QWI88" s="120"/>
      <c r="QWJ88" s="120"/>
      <c r="QWK88" s="120"/>
      <c r="QWL88" s="120"/>
      <c r="QWM88" s="120"/>
      <c r="QWN88" s="120"/>
      <c r="QWO88" s="120"/>
      <c r="QWP88" s="120"/>
      <c r="QWQ88" s="120"/>
      <c r="QWR88" s="120"/>
      <c r="QWS88" s="120"/>
      <c r="QWT88" s="120"/>
      <c r="QWU88" s="120"/>
      <c r="QWV88" s="120"/>
      <c r="QWW88" s="120"/>
      <c r="QWX88" s="120"/>
      <c r="QWY88" s="120"/>
      <c r="QWZ88" s="120"/>
      <c r="QXA88" s="120"/>
      <c r="QXB88" s="120"/>
      <c r="QXC88" s="120"/>
      <c r="QXD88" s="120"/>
      <c r="QXE88" s="120"/>
      <c r="QXF88" s="120"/>
      <c r="QXG88" s="120"/>
      <c r="QXH88" s="120"/>
      <c r="QXI88" s="120"/>
      <c r="QXJ88" s="120"/>
      <c r="QXK88" s="120"/>
      <c r="QXL88" s="120"/>
      <c r="QXM88" s="120"/>
      <c r="QXN88" s="120"/>
      <c r="QXO88" s="120"/>
      <c r="QXP88" s="120"/>
      <c r="QXQ88" s="120"/>
      <c r="QXR88" s="120"/>
      <c r="QXS88" s="120"/>
      <c r="QXT88" s="120"/>
      <c r="QXU88" s="120"/>
      <c r="QXV88" s="120"/>
      <c r="QXW88" s="120"/>
      <c r="QXX88" s="120"/>
      <c r="QXY88" s="120"/>
      <c r="QXZ88" s="120"/>
      <c r="QYA88" s="120"/>
      <c r="QYB88" s="120"/>
      <c r="QYC88" s="120"/>
      <c r="QYD88" s="120"/>
      <c r="QYE88" s="120"/>
      <c r="QYF88" s="120"/>
      <c r="QYG88" s="120"/>
      <c r="QYH88" s="120"/>
      <c r="QYI88" s="120"/>
      <c r="QYJ88" s="120"/>
      <c r="QYK88" s="120"/>
      <c r="QYL88" s="120"/>
      <c r="QYM88" s="120"/>
      <c r="QYN88" s="120"/>
      <c r="QYO88" s="120"/>
      <c r="QYP88" s="120"/>
      <c r="QYQ88" s="120"/>
      <c r="QYR88" s="120"/>
      <c r="QYS88" s="120"/>
      <c r="QYT88" s="120"/>
      <c r="QYU88" s="120"/>
      <c r="QYV88" s="120"/>
      <c r="QYW88" s="120"/>
      <c r="QYX88" s="120"/>
      <c r="QYY88" s="120"/>
      <c r="QYZ88" s="120"/>
      <c r="QZA88" s="120"/>
      <c r="QZB88" s="120"/>
      <c r="QZC88" s="120"/>
      <c r="QZD88" s="120"/>
      <c r="QZE88" s="120"/>
      <c r="QZF88" s="120"/>
      <c r="QZG88" s="120"/>
      <c r="QZH88" s="120"/>
      <c r="QZI88" s="120"/>
      <c r="QZJ88" s="120"/>
      <c r="QZK88" s="120"/>
      <c r="QZL88" s="120"/>
      <c r="QZM88" s="120"/>
      <c r="QZN88" s="120"/>
      <c r="QZO88" s="120"/>
      <c r="QZP88" s="120"/>
      <c r="QZQ88" s="120"/>
      <c r="QZR88" s="120"/>
      <c r="QZS88" s="120"/>
      <c r="QZT88" s="120"/>
      <c r="QZU88" s="120"/>
      <c r="QZV88" s="120"/>
      <c r="QZW88" s="120"/>
      <c r="QZX88" s="120"/>
      <c r="QZY88" s="120"/>
      <c r="QZZ88" s="120"/>
      <c r="RAA88" s="120"/>
      <c r="RAB88" s="120"/>
      <c r="RAC88" s="120"/>
      <c r="RAD88" s="120"/>
      <c r="RAE88" s="120"/>
      <c r="RAF88" s="120"/>
      <c r="RAG88" s="120"/>
      <c r="RAH88" s="120"/>
      <c r="RAI88" s="120"/>
      <c r="RAJ88" s="120"/>
      <c r="RAK88" s="120"/>
      <c r="RAL88" s="120"/>
      <c r="RAM88" s="120"/>
      <c r="RAN88" s="120"/>
      <c r="RAO88" s="120"/>
      <c r="RAP88" s="120"/>
      <c r="RAQ88" s="120"/>
      <c r="RAR88" s="120"/>
      <c r="RAS88" s="120"/>
      <c r="RAT88" s="120"/>
      <c r="RAU88" s="120"/>
      <c r="RAV88" s="120"/>
      <c r="RAW88" s="120"/>
      <c r="RAX88" s="120"/>
      <c r="RAY88" s="120"/>
      <c r="RAZ88" s="120"/>
      <c r="RBA88" s="120"/>
      <c r="RBB88" s="120"/>
      <c r="RBC88" s="120"/>
      <c r="RBD88" s="120"/>
      <c r="RBE88" s="120"/>
      <c r="RBF88" s="120"/>
      <c r="RBG88" s="120"/>
      <c r="RBH88" s="120"/>
      <c r="RBI88" s="120"/>
      <c r="RBJ88" s="120"/>
      <c r="RBK88" s="120"/>
      <c r="RBL88" s="120"/>
      <c r="RBM88" s="120"/>
      <c r="RBN88" s="120"/>
      <c r="RBO88" s="120"/>
      <c r="RBP88" s="120"/>
      <c r="RBQ88" s="120"/>
      <c r="RBR88" s="120"/>
      <c r="RBS88" s="120"/>
      <c r="RBT88" s="120"/>
      <c r="RBU88" s="120"/>
      <c r="RBV88" s="120"/>
      <c r="RBW88" s="120"/>
      <c r="RBX88" s="120"/>
      <c r="RBY88" s="120"/>
      <c r="RBZ88" s="120"/>
      <c r="RCA88" s="120"/>
      <c r="RCB88" s="120"/>
      <c r="RCC88" s="120"/>
      <c r="RCD88" s="120"/>
      <c r="RCE88" s="120"/>
      <c r="RCF88" s="120"/>
      <c r="RCG88" s="120"/>
      <c r="RCH88" s="120"/>
      <c r="RCI88" s="120"/>
      <c r="RCJ88" s="120"/>
      <c r="RCK88" s="120"/>
      <c r="RCL88" s="120"/>
      <c r="RCM88" s="120"/>
      <c r="RCN88" s="120"/>
      <c r="RCO88" s="120"/>
      <c r="RCP88" s="120"/>
      <c r="RCQ88" s="120"/>
      <c r="RCR88" s="120"/>
      <c r="RCS88" s="120"/>
      <c r="RCT88" s="120"/>
      <c r="RCU88" s="120"/>
      <c r="RCV88" s="120"/>
      <c r="RCW88" s="120"/>
      <c r="RCX88" s="120"/>
      <c r="RCY88" s="120"/>
      <c r="RCZ88" s="120"/>
      <c r="RDA88" s="120"/>
      <c r="RDB88" s="120"/>
      <c r="RDC88" s="120"/>
      <c r="RDD88" s="120"/>
      <c r="RDE88" s="120"/>
      <c r="RDF88" s="120"/>
      <c r="RDG88" s="120"/>
      <c r="RDH88" s="120"/>
      <c r="RDI88" s="120"/>
      <c r="RDJ88" s="120"/>
      <c r="RDK88" s="120"/>
      <c r="RDL88" s="120"/>
      <c r="RDM88" s="120"/>
      <c r="RDN88" s="120"/>
      <c r="RDO88" s="120"/>
      <c r="RDP88" s="120"/>
      <c r="RDQ88" s="120"/>
      <c r="RDR88" s="120"/>
      <c r="RDS88" s="120"/>
      <c r="RDT88" s="120"/>
      <c r="RDU88" s="120"/>
      <c r="RDV88" s="120"/>
      <c r="RDW88" s="120"/>
      <c r="RDX88" s="120"/>
      <c r="RDY88" s="120"/>
      <c r="RDZ88" s="120"/>
      <c r="REA88" s="120"/>
      <c r="REB88" s="120"/>
      <c r="REC88" s="120"/>
      <c r="RED88" s="120"/>
      <c r="REE88" s="120"/>
      <c r="REF88" s="120"/>
      <c r="REG88" s="120"/>
      <c r="REH88" s="120"/>
      <c r="REI88" s="120"/>
      <c r="REJ88" s="120"/>
      <c r="REK88" s="120"/>
      <c r="REL88" s="120"/>
      <c r="REM88" s="120"/>
      <c r="REN88" s="120"/>
      <c r="REO88" s="120"/>
      <c r="REP88" s="120"/>
      <c r="REQ88" s="120"/>
      <c r="RER88" s="120"/>
      <c r="RES88" s="120"/>
      <c r="RET88" s="120"/>
      <c r="REU88" s="120"/>
      <c r="REV88" s="120"/>
      <c r="REW88" s="120"/>
      <c r="REX88" s="120"/>
      <c r="REY88" s="120"/>
      <c r="REZ88" s="120"/>
      <c r="RFA88" s="120"/>
      <c r="RFB88" s="120"/>
      <c r="RFC88" s="120"/>
      <c r="RFD88" s="120"/>
      <c r="RFE88" s="120"/>
      <c r="RFF88" s="120"/>
      <c r="RFG88" s="120"/>
      <c r="RFH88" s="120"/>
      <c r="RFI88" s="120"/>
      <c r="RFJ88" s="120"/>
      <c r="RFK88" s="120"/>
      <c r="RFL88" s="120"/>
      <c r="RFM88" s="120"/>
      <c r="RFN88" s="120"/>
      <c r="RFO88" s="120"/>
      <c r="RFP88" s="120"/>
      <c r="RFQ88" s="120"/>
      <c r="RFR88" s="120"/>
      <c r="RFS88" s="120"/>
      <c r="RFT88" s="120"/>
      <c r="RFU88" s="120"/>
      <c r="RFV88" s="120"/>
      <c r="RFW88" s="120"/>
      <c r="RFX88" s="120"/>
      <c r="RFY88" s="120"/>
      <c r="RFZ88" s="120"/>
      <c r="RGA88" s="120"/>
      <c r="RGB88" s="120"/>
      <c r="RGC88" s="120"/>
      <c r="RGD88" s="120"/>
      <c r="RGE88" s="120"/>
      <c r="RGF88" s="120"/>
      <c r="RGG88" s="120"/>
      <c r="RGH88" s="120"/>
      <c r="RGI88" s="120"/>
      <c r="RGJ88" s="120"/>
      <c r="RGK88" s="120"/>
      <c r="RGL88" s="120"/>
      <c r="RGM88" s="120"/>
      <c r="RGN88" s="120"/>
      <c r="RGO88" s="120"/>
      <c r="RGP88" s="120"/>
      <c r="RGQ88" s="120"/>
      <c r="RGR88" s="120"/>
      <c r="RGS88" s="120"/>
      <c r="RGT88" s="120"/>
      <c r="RGU88" s="120"/>
      <c r="RGV88" s="120"/>
      <c r="RGW88" s="120"/>
      <c r="RGX88" s="120"/>
      <c r="RGY88" s="120"/>
      <c r="RGZ88" s="120"/>
      <c r="RHA88" s="120"/>
      <c r="RHB88" s="120"/>
      <c r="RHC88" s="120"/>
      <c r="RHD88" s="120"/>
      <c r="RHE88" s="120"/>
      <c r="RHF88" s="120"/>
      <c r="RHG88" s="120"/>
      <c r="RHH88" s="120"/>
      <c r="RHI88" s="120"/>
      <c r="RHJ88" s="120"/>
      <c r="RHK88" s="120"/>
      <c r="RHL88" s="120"/>
      <c r="RHM88" s="120"/>
      <c r="RHN88" s="120"/>
      <c r="RHO88" s="120"/>
      <c r="RHP88" s="120"/>
      <c r="RHQ88" s="120"/>
      <c r="RHR88" s="120"/>
      <c r="RHS88" s="120"/>
      <c r="RHT88" s="120"/>
      <c r="RHU88" s="120"/>
      <c r="RHV88" s="120"/>
      <c r="RHW88" s="120"/>
      <c r="RHX88" s="120"/>
      <c r="RHY88" s="120"/>
      <c r="RHZ88" s="120"/>
      <c r="RIA88" s="120"/>
      <c r="RIB88" s="120"/>
      <c r="RIC88" s="120"/>
      <c r="RID88" s="120"/>
      <c r="RIE88" s="120"/>
      <c r="RIF88" s="120"/>
      <c r="RIG88" s="120"/>
      <c r="RIH88" s="120"/>
      <c r="RII88" s="120"/>
      <c r="RIJ88" s="120"/>
      <c r="RIK88" s="120"/>
      <c r="RIL88" s="120"/>
      <c r="RIM88" s="120"/>
      <c r="RIN88" s="120"/>
      <c r="RIO88" s="120"/>
      <c r="RIP88" s="120"/>
      <c r="RIQ88" s="120"/>
      <c r="RIR88" s="120"/>
      <c r="RIS88" s="120"/>
      <c r="RIT88" s="120"/>
      <c r="RIU88" s="120"/>
      <c r="RIV88" s="120"/>
      <c r="RIW88" s="120"/>
      <c r="RIX88" s="120"/>
      <c r="RIY88" s="120"/>
      <c r="RIZ88" s="120"/>
      <c r="RJA88" s="120"/>
      <c r="RJB88" s="120"/>
      <c r="RJC88" s="120"/>
      <c r="RJD88" s="120"/>
      <c r="RJE88" s="120"/>
      <c r="RJF88" s="120"/>
      <c r="RJG88" s="120"/>
      <c r="RJH88" s="120"/>
      <c r="RJI88" s="120"/>
      <c r="RJJ88" s="120"/>
      <c r="RJK88" s="120"/>
      <c r="RJL88" s="120"/>
      <c r="RJM88" s="120"/>
      <c r="RJN88" s="120"/>
      <c r="RJO88" s="120"/>
      <c r="RJP88" s="120"/>
      <c r="RJQ88" s="120"/>
      <c r="RJR88" s="120"/>
      <c r="RJS88" s="120"/>
      <c r="RJT88" s="120"/>
      <c r="RJU88" s="120"/>
      <c r="RJV88" s="120"/>
      <c r="RJW88" s="120"/>
      <c r="RJX88" s="120"/>
      <c r="RJY88" s="120"/>
      <c r="RJZ88" s="120"/>
      <c r="RKA88" s="120"/>
      <c r="RKB88" s="120"/>
      <c r="RKC88" s="120"/>
      <c r="RKD88" s="120"/>
      <c r="RKE88" s="120"/>
      <c r="RKF88" s="120"/>
      <c r="RKG88" s="120"/>
      <c r="RKH88" s="120"/>
      <c r="RKI88" s="120"/>
      <c r="RKJ88" s="120"/>
      <c r="RKK88" s="120"/>
      <c r="RKL88" s="120"/>
      <c r="RKM88" s="120"/>
      <c r="RKN88" s="120"/>
      <c r="RKO88" s="120"/>
      <c r="RKP88" s="120"/>
      <c r="RKQ88" s="120"/>
      <c r="RKR88" s="120"/>
      <c r="RKS88" s="120"/>
      <c r="RKT88" s="120"/>
      <c r="RKU88" s="120"/>
      <c r="RKV88" s="120"/>
      <c r="RKW88" s="120"/>
      <c r="RKX88" s="120"/>
      <c r="RKY88" s="120"/>
      <c r="RKZ88" s="120"/>
      <c r="RLA88" s="120"/>
      <c r="RLB88" s="120"/>
      <c r="RLC88" s="120"/>
      <c r="RLD88" s="120"/>
      <c r="RLE88" s="120"/>
      <c r="RLF88" s="120"/>
      <c r="RLG88" s="120"/>
      <c r="RLH88" s="120"/>
      <c r="RLI88" s="120"/>
      <c r="RLJ88" s="120"/>
      <c r="RLK88" s="120"/>
      <c r="RLL88" s="120"/>
      <c r="RLM88" s="120"/>
      <c r="RLN88" s="120"/>
      <c r="RLO88" s="120"/>
      <c r="RLP88" s="120"/>
      <c r="RLQ88" s="120"/>
      <c r="RLR88" s="120"/>
      <c r="RLS88" s="120"/>
      <c r="RLT88" s="120"/>
      <c r="RLU88" s="120"/>
      <c r="RLV88" s="120"/>
      <c r="RLW88" s="120"/>
      <c r="RLX88" s="120"/>
      <c r="RLY88" s="120"/>
      <c r="RLZ88" s="120"/>
      <c r="RMA88" s="120"/>
      <c r="RMB88" s="120"/>
      <c r="RMC88" s="120"/>
      <c r="RMD88" s="120"/>
      <c r="RME88" s="120"/>
      <c r="RMF88" s="120"/>
      <c r="RMG88" s="120"/>
      <c r="RMH88" s="120"/>
      <c r="RMI88" s="120"/>
      <c r="RMJ88" s="120"/>
      <c r="RMK88" s="120"/>
      <c r="RML88" s="120"/>
      <c r="RMM88" s="120"/>
      <c r="RMN88" s="120"/>
      <c r="RMO88" s="120"/>
      <c r="RMP88" s="120"/>
      <c r="RMQ88" s="120"/>
      <c r="RMR88" s="120"/>
      <c r="RMS88" s="120"/>
      <c r="RMT88" s="120"/>
      <c r="RMU88" s="120"/>
      <c r="RMV88" s="120"/>
      <c r="RMW88" s="120"/>
      <c r="RMX88" s="120"/>
      <c r="RMY88" s="120"/>
      <c r="RMZ88" s="120"/>
      <c r="RNA88" s="120"/>
      <c r="RNB88" s="120"/>
      <c r="RNC88" s="120"/>
      <c r="RND88" s="120"/>
      <c r="RNE88" s="120"/>
      <c r="RNF88" s="120"/>
      <c r="RNG88" s="120"/>
      <c r="RNH88" s="120"/>
      <c r="RNI88" s="120"/>
      <c r="RNJ88" s="120"/>
      <c r="RNK88" s="120"/>
      <c r="RNL88" s="120"/>
      <c r="RNM88" s="120"/>
      <c r="RNN88" s="120"/>
      <c r="RNO88" s="120"/>
      <c r="RNP88" s="120"/>
      <c r="RNQ88" s="120"/>
      <c r="RNR88" s="120"/>
      <c r="RNS88" s="120"/>
      <c r="RNT88" s="120"/>
      <c r="RNU88" s="120"/>
      <c r="RNV88" s="120"/>
      <c r="RNW88" s="120"/>
      <c r="RNX88" s="120"/>
      <c r="RNY88" s="120"/>
      <c r="RNZ88" s="120"/>
      <c r="ROA88" s="120"/>
      <c r="ROB88" s="120"/>
      <c r="ROC88" s="120"/>
      <c r="ROD88" s="120"/>
      <c r="ROE88" s="120"/>
      <c r="ROF88" s="120"/>
      <c r="ROG88" s="120"/>
      <c r="ROH88" s="120"/>
      <c r="ROI88" s="120"/>
      <c r="ROJ88" s="120"/>
      <c r="ROK88" s="120"/>
      <c r="ROL88" s="120"/>
      <c r="ROM88" s="120"/>
      <c r="RON88" s="120"/>
      <c r="ROO88" s="120"/>
      <c r="ROP88" s="120"/>
      <c r="ROQ88" s="120"/>
      <c r="ROR88" s="120"/>
      <c r="ROS88" s="120"/>
      <c r="ROT88" s="120"/>
      <c r="ROU88" s="120"/>
      <c r="ROV88" s="120"/>
      <c r="ROW88" s="120"/>
      <c r="ROX88" s="120"/>
      <c r="ROY88" s="120"/>
      <c r="ROZ88" s="120"/>
      <c r="RPA88" s="120"/>
      <c r="RPB88" s="120"/>
      <c r="RPC88" s="120"/>
      <c r="RPD88" s="120"/>
      <c r="RPE88" s="120"/>
      <c r="RPF88" s="120"/>
      <c r="RPG88" s="120"/>
      <c r="RPH88" s="120"/>
      <c r="RPI88" s="120"/>
      <c r="RPJ88" s="120"/>
      <c r="RPK88" s="120"/>
      <c r="RPL88" s="120"/>
      <c r="RPM88" s="120"/>
      <c r="RPN88" s="120"/>
      <c r="RPO88" s="120"/>
      <c r="RPP88" s="120"/>
      <c r="RPQ88" s="120"/>
      <c r="RPR88" s="120"/>
      <c r="RPS88" s="120"/>
      <c r="RPT88" s="120"/>
      <c r="RPU88" s="120"/>
      <c r="RPV88" s="120"/>
      <c r="RPW88" s="120"/>
      <c r="RPX88" s="120"/>
      <c r="RPY88" s="120"/>
      <c r="RPZ88" s="120"/>
      <c r="RQA88" s="120"/>
      <c r="RQB88" s="120"/>
      <c r="RQC88" s="120"/>
      <c r="RQD88" s="120"/>
      <c r="RQE88" s="120"/>
      <c r="RQF88" s="120"/>
      <c r="RQG88" s="120"/>
      <c r="RQH88" s="120"/>
      <c r="RQI88" s="120"/>
      <c r="RQJ88" s="120"/>
      <c r="RQK88" s="120"/>
      <c r="RQL88" s="120"/>
      <c r="RQM88" s="120"/>
      <c r="RQN88" s="120"/>
      <c r="RQO88" s="120"/>
      <c r="RQP88" s="120"/>
      <c r="RQQ88" s="120"/>
      <c r="RQR88" s="120"/>
      <c r="RQS88" s="120"/>
      <c r="RQT88" s="120"/>
      <c r="RQU88" s="120"/>
      <c r="RQV88" s="120"/>
      <c r="RQW88" s="120"/>
      <c r="RQX88" s="120"/>
      <c r="RQY88" s="120"/>
      <c r="RQZ88" s="120"/>
      <c r="RRA88" s="120"/>
      <c r="RRB88" s="120"/>
      <c r="RRC88" s="120"/>
      <c r="RRD88" s="120"/>
      <c r="RRE88" s="120"/>
      <c r="RRF88" s="120"/>
      <c r="RRG88" s="120"/>
      <c r="RRH88" s="120"/>
      <c r="RRI88" s="120"/>
      <c r="RRJ88" s="120"/>
      <c r="RRK88" s="120"/>
      <c r="RRL88" s="120"/>
      <c r="RRM88" s="120"/>
      <c r="RRN88" s="120"/>
      <c r="RRO88" s="120"/>
      <c r="RRP88" s="120"/>
      <c r="RRQ88" s="120"/>
      <c r="RRR88" s="120"/>
      <c r="RRS88" s="120"/>
      <c r="RRT88" s="120"/>
      <c r="RRU88" s="120"/>
      <c r="RRV88" s="120"/>
      <c r="RRW88" s="120"/>
      <c r="RRX88" s="120"/>
      <c r="RRY88" s="120"/>
      <c r="RRZ88" s="120"/>
      <c r="RSA88" s="120"/>
      <c r="RSB88" s="120"/>
      <c r="RSC88" s="120"/>
      <c r="RSD88" s="120"/>
      <c r="RSE88" s="120"/>
      <c r="RSF88" s="120"/>
      <c r="RSG88" s="120"/>
      <c r="RSH88" s="120"/>
      <c r="RSI88" s="120"/>
      <c r="RSJ88" s="120"/>
      <c r="RSK88" s="120"/>
      <c r="RSL88" s="120"/>
      <c r="RSM88" s="120"/>
      <c r="RSN88" s="120"/>
      <c r="RSO88" s="120"/>
      <c r="RSP88" s="120"/>
      <c r="RSQ88" s="120"/>
      <c r="RSR88" s="120"/>
      <c r="RSS88" s="120"/>
      <c r="RST88" s="120"/>
      <c r="RSU88" s="120"/>
      <c r="RSV88" s="120"/>
      <c r="RSW88" s="120"/>
      <c r="RSX88" s="120"/>
      <c r="RSY88" s="120"/>
      <c r="RSZ88" s="120"/>
      <c r="RTA88" s="120"/>
      <c r="RTB88" s="120"/>
      <c r="RTC88" s="120"/>
      <c r="RTD88" s="120"/>
      <c r="RTE88" s="120"/>
      <c r="RTF88" s="120"/>
      <c r="RTG88" s="120"/>
      <c r="RTH88" s="120"/>
      <c r="RTI88" s="120"/>
      <c r="RTJ88" s="120"/>
      <c r="RTK88" s="120"/>
      <c r="RTL88" s="120"/>
      <c r="RTM88" s="120"/>
      <c r="RTN88" s="120"/>
      <c r="RTO88" s="120"/>
      <c r="RTP88" s="120"/>
      <c r="RTQ88" s="120"/>
      <c r="RTR88" s="120"/>
      <c r="RTS88" s="120"/>
      <c r="RTT88" s="120"/>
      <c r="RTU88" s="120"/>
      <c r="RTV88" s="120"/>
      <c r="RTW88" s="120"/>
      <c r="RTX88" s="120"/>
      <c r="RTY88" s="120"/>
      <c r="RTZ88" s="120"/>
      <c r="RUA88" s="120"/>
      <c r="RUB88" s="120"/>
      <c r="RUC88" s="120"/>
      <c r="RUD88" s="120"/>
      <c r="RUE88" s="120"/>
      <c r="RUF88" s="120"/>
      <c r="RUG88" s="120"/>
      <c r="RUH88" s="120"/>
      <c r="RUI88" s="120"/>
      <c r="RUJ88" s="120"/>
      <c r="RUK88" s="120"/>
      <c r="RUL88" s="120"/>
      <c r="RUM88" s="120"/>
      <c r="RUN88" s="120"/>
      <c r="RUO88" s="120"/>
      <c r="RUP88" s="120"/>
      <c r="RUQ88" s="120"/>
      <c r="RUR88" s="120"/>
      <c r="RUS88" s="120"/>
      <c r="RUT88" s="120"/>
      <c r="RUU88" s="120"/>
      <c r="RUV88" s="120"/>
      <c r="RUW88" s="120"/>
      <c r="RUX88" s="120"/>
      <c r="RUY88" s="120"/>
      <c r="RUZ88" s="120"/>
      <c r="RVA88" s="120"/>
      <c r="RVB88" s="120"/>
      <c r="RVC88" s="120"/>
      <c r="RVD88" s="120"/>
      <c r="RVE88" s="120"/>
      <c r="RVF88" s="120"/>
      <c r="RVG88" s="120"/>
      <c r="RVH88" s="120"/>
      <c r="RVI88" s="120"/>
      <c r="RVJ88" s="120"/>
      <c r="RVK88" s="120"/>
      <c r="RVL88" s="120"/>
      <c r="RVM88" s="120"/>
      <c r="RVN88" s="120"/>
      <c r="RVO88" s="120"/>
      <c r="RVP88" s="120"/>
      <c r="RVQ88" s="120"/>
      <c r="RVR88" s="120"/>
      <c r="RVS88" s="120"/>
      <c r="RVT88" s="120"/>
      <c r="RVU88" s="120"/>
      <c r="RVV88" s="120"/>
      <c r="RVW88" s="120"/>
      <c r="RVX88" s="120"/>
      <c r="RVY88" s="120"/>
      <c r="RVZ88" s="120"/>
      <c r="RWA88" s="120"/>
      <c r="RWB88" s="120"/>
      <c r="RWC88" s="120"/>
      <c r="RWD88" s="120"/>
      <c r="RWE88" s="120"/>
      <c r="RWF88" s="120"/>
      <c r="RWG88" s="120"/>
      <c r="RWH88" s="120"/>
      <c r="RWI88" s="120"/>
      <c r="RWJ88" s="120"/>
      <c r="RWK88" s="120"/>
      <c r="RWL88" s="120"/>
      <c r="RWM88" s="120"/>
      <c r="RWN88" s="120"/>
      <c r="RWO88" s="120"/>
      <c r="RWP88" s="120"/>
      <c r="RWQ88" s="120"/>
      <c r="RWR88" s="120"/>
      <c r="RWS88" s="120"/>
      <c r="RWT88" s="120"/>
      <c r="RWU88" s="120"/>
      <c r="RWV88" s="120"/>
      <c r="RWW88" s="120"/>
      <c r="RWX88" s="120"/>
      <c r="RWY88" s="120"/>
      <c r="RWZ88" s="120"/>
      <c r="RXA88" s="120"/>
      <c r="RXB88" s="120"/>
      <c r="RXC88" s="120"/>
      <c r="RXD88" s="120"/>
      <c r="RXE88" s="120"/>
      <c r="RXF88" s="120"/>
      <c r="RXG88" s="120"/>
      <c r="RXH88" s="120"/>
      <c r="RXI88" s="120"/>
      <c r="RXJ88" s="120"/>
      <c r="RXK88" s="120"/>
      <c r="RXL88" s="120"/>
      <c r="RXM88" s="120"/>
      <c r="RXN88" s="120"/>
      <c r="RXO88" s="120"/>
      <c r="RXP88" s="120"/>
      <c r="RXQ88" s="120"/>
      <c r="RXR88" s="120"/>
      <c r="RXS88" s="120"/>
      <c r="RXT88" s="120"/>
      <c r="RXU88" s="120"/>
      <c r="RXV88" s="120"/>
      <c r="RXW88" s="120"/>
      <c r="RXX88" s="120"/>
      <c r="RXY88" s="120"/>
      <c r="RXZ88" s="120"/>
      <c r="RYA88" s="120"/>
      <c r="RYB88" s="120"/>
      <c r="RYC88" s="120"/>
      <c r="RYD88" s="120"/>
      <c r="RYE88" s="120"/>
      <c r="RYF88" s="120"/>
      <c r="RYG88" s="120"/>
      <c r="RYH88" s="120"/>
      <c r="RYI88" s="120"/>
      <c r="RYJ88" s="120"/>
      <c r="RYK88" s="120"/>
      <c r="RYL88" s="120"/>
      <c r="RYM88" s="120"/>
      <c r="RYN88" s="120"/>
      <c r="RYO88" s="120"/>
      <c r="RYP88" s="120"/>
      <c r="RYQ88" s="120"/>
      <c r="RYR88" s="120"/>
      <c r="RYS88" s="120"/>
      <c r="RYT88" s="120"/>
      <c r="RYU88" s="120"/>
      <c r="RYV88" s="120"/>
      <c r="RYW88" s="120"/>
      <c r="RYX88" s="120"/>
      <c r="RYY88" s="120"/>
      <c r="RYZ88" s="120"/>
      <c r="RZA88" s="120"/>
      <c r="RZB88" s="120"/>
      <c r="RZC88" s="120"/>
      <c r="RZD88" s="120"/>
      <c r="RZE88" s="120"/>
      <c r="RZF88" s="120"/>
      <c r="RZG88" s="120"/>
      <c r="RZH88" s="120"/>
      <c r="RZI88" s="120"/>
      <c r="RZJ88" s="120"/>
      <c r="RZK88" s="120"/>
      <c r="RZL88" s="120"/>
      <c r="RZM88" s="120"/>
      <c r="RZN88" s="120"/>
      <c r="RZO88" s="120"/>
      <c r="RZP88" s="120"/>
      <c r="RZQ88" s="120"/>
      <c r="RZR88" s="120"/>
      <c r="RZS88" s="120"/>
      <c r="RZT88" s="120"/>
      <c r="RZU88" s="120"/>
      <c r="RZV88" s="120"/>
      <c r="RZW88" s="120"/>
      <c r="RZX88" s="120"/>
      <c r="RZY88" s="120"/>
      <c r="RZZ88" s="120"/>
      <c r="SAA88" s="120"/>
      <c r="SAB88" s="120"/>
      <c r="SAC88" s="120"/>
      <c r="SAD88" s="120"/>
      <c r="SAE88" s="120"/>
      <c r="SAF88" s="120"/>
      <c r="SAG88" s="120"/>
      <c r="SAH88" s="120"/>
      <c r="SAI88" s="120"/>
      <c r="SAJ88" s="120"/>
      <c r="SAK88" s="120"/>
      <c r="SAL88" s="120"/>
      <c r="SAM88" s="120"/>
      <c r="SAN88" s="120"/>
      <c r="SAO88" s="120"/>
      <c r="SAP88" s="120"/>
      <c r="SAQ88" s="120"/>
      <c r="SAR88" s="120"/>
      <c r="SAS88" s="120"/>
      <c r="SAT88" s="120"/>
      <c r="SAU88" s="120"/>
      <c r="SAV88" s="120"/>
      <c r="SAW88" s="120"/>
      <c r="SAX88" s="120"/>
      <c r="SAY88" s="120"/>
      <c r="SAZ88" s="120"/>
      <c r="SBA88" s="120"/>
      <c r="SBB88" s="120"/>
      <c r="SBC88" s="120"/>
      <c r="SBD88" s="120"/>
      <c r="SBE88" s="120"/>
      <c r="SBF88" s="120"/>
      <c r="SBG88" s="120"/>
      <c r="SBH88" s="120"/>
      <c r="SBI88" s="120"/>
      <c r="SBJ88" s="120"/>
      <c r="SBK88" s="120"/>
      <c r="SBL88" s="120"/>
      <c r="SBM88" s="120"/>
      <c r="SBN88" s="120"/>
      <c r="SBO88" s="120"/>
      <c r="SBP88" s="120"/>
      <c r="SBQ88" s="120"/>
      <c r="SBR88" s="120"/>
      <c r="SBS88" s="120"/>
      <c r="SBT88" s="120"/>
      <c r="SBU88" s="120"/>
      <c r="SBV88" s="120"/>
      <c r="SBW88" s="120"/>
      <c r="SBX88" s="120"/>
      <c r="SBY88" s="120"/>
      <c r="SBZ88" s="120"/>
      <c r="SCA88" s="120"/>
      <c r="SCB88" s="120"/>
      <c r="SCC88" s="120"/>
      <c r="SCD88" s="120"/>
      <c r="SCE88" s="120"/>
      <c r="SCF88" s="120"/>
      <c r="SCG88" s="120"/>
      <c r="SCH88" s="120"/>
      <c r="SCI88" s="120"/>
      <c r="SCJ88" s="120"/>
      <c r="SCK88" s="120"/>
      <c r="SCL88" s="120"/>
      <c r="SCM88" s="120"/>
      <c r="SCN88" s="120"/>
      <c r="SCO88" s="120"/>
      <c r="SCP88" s="120"/>
      <c r="SCQ88" s="120"/>
      <c r="SCR88" s="120"/>
      <c r="SCS88" s="120"/>
      <c r="SCT88" s="120"/>
      <c r="SCU88" s="120"/>
      <c r="SCV88" s="120"/>
      <c r="SCW88" s="120"/>
      <c r="SCX88" s="120"/>
      <c r="SCY88" s="120"/>
      <c r="SCZ88" s="120"/>
      <c r="SDA88" s="120"/>
      <c r="SDB88" s="120"/>
      <c r="SDC88" s="120"/>
      <c r="SDD88" s="120"/>
      <c r="SDE88" s="120"/>
      <c r="SDF88" s="120"/>
      <c r="SDG88" s="120"/>
      <c r="SDH88" s="120"/>
      <c r="SDI88" s="120"/>
      <c r="SDJ88" s="120"/>
      <c r="SDK88" s="120"/>
      <c r="SDL88" s="120"/>
      <c r="SDM88" s="120"/>
      <c r="SDN88" s="120"/>
      <c r="SDO88" s="120"/>
      <c r="SDP88" s="120"/>
      <c r="SDQ88" s="120"/>
      <c r="SDR88" s="120"/>
      <c r="SDS88" s="120"/>
      <c r="SDT88" s="120"/>
      <c r="SDU88" s="120"/>
      <c r="SDV88" s="120"/>
      <c r="SDW88" s="120"/>
      <c r="SDX88" s="120"/>
      <c r="SDY88" s="120"/>
      <c r="SDZ88" s="120"/>
      <c r="SEA88" s="120"/>
      <c r="SEB88" s="120"/>
      <c r="SEC88" s="120"/>
      <c r="SED88" s="120"/>
      <c r="SEE88" s="120"/>
      <c r="SEF88" s="120"/>
      <c r="SEG88" s="120"/>
      <c r="SEH88" s="120"/>
      <c r="SEI88" s="120"/>
      <c r="SEJ88" s="120"/>
      <c r="SEK88" s="120"/>
      <c r="SEL88" s="120"/>
      <c r="SEM88" s="120"/>
      <c r="SEN88" s="120"/>
      <c r="SEO88" s="120"/>
      <c r="SEP88" s="120"/>
      <c r="SEQ88" s="120"/>
      <c r="SER88" s="120"/>
      <c r="SES88" s="120"/>
      <c r="SET88" s="120"/>
      <c r="SEU88" s="120"/>
      <c r="SEV88" s="120"/>
      <c r="SEW88" s="120"/>
      <c r="SEX88" s="120"/>
      <c r="SEY88" s="120"/>
      <c r="SEZ88" s="120"/>
      <c r="SFA88" s="120"/>
      <c r="SFB88" s="120"/>
      <c r="SFC88" s="120"/>
      <c r="SFD88" s="120"/>
      <c r="SFE88" s="120"/>
      <c r="SFF88" s="120"/>
      <c r="SFG88" s="120"/>
      <c r="SFH88" s="120"/>
      <c r="SFI88" s="120"/>
      <c r="SFJ88" s="120"/>
      <c r="SFK88" s="120"/>
      <c r="SFL88" s="120"/>
      <c r="SFM88" s="120"/>
      <c r="SFN88" s="120"/>
      <c r="SFO88" s="120"/>
      <c r="SFP88" s="120"/>
      <c r="SFQ88" s="120"/>
      <c r="SFR88" s="120"/>
      <c r="SFS88" s="120"/>
      <c r="SFT88" s="120"/>
      <c r="SFU88" s="120"/>
      <c r="SFV88" s="120"/>
      <c r="SFW88" s="120"/>
      <c r="SFX88" s="120"/>
      <c r="SFY88" s="120"/>
      <c r="SFZ88" s="120"/>
      <c r="SGA88" s="120"/>
      <c r="SGB88" s="120"/>
      <c r="SGC88" s="120"/>
      <c r="SGD88" s="120"/>
      <c r="SGE88" s="120"/>
      <c r="SGF88" s="120"/>
      <c r="SGG88" s="120"/>
      <c r="SGH88" s="120"/>
      <c r="SGI88" s="120"/>
      <c r="SGJ88" s="120"/>
      <c r="SGK88" s="120"/>
      <c r="SGL88" s="120"/>
      <c r="SGM88" s="120"/>
      <c r="SGN88" s="120"/>
      <c r="SGO88" s="120"/>
      <c r="SGP88" s="120"/>
      <c r="SGQ88" s="120"/>
      <c r="SGR88" s="120"/>
      <c r="SGS88" s="120"/>
      <c r="SGT88" s="120"/>
      <c r="SGU88" s="120"/>
      <c r="SGV88" s="120"/>
      <c r="SGW88" s="120"/>
      <c r="SGX88" s="120"/>
      <c r="SGY88" s="120"/>
      <c r="SGZ88" s="120"/>
      <c r="SHA88" s="120"/>
      <c r="SHB88" s="120"/>
      <c r="SHC88" s="120"/>
      <c r="SHD88" s="120"/>
      <c r="SHE88" s="120"/>
      <c r="SHF88" s="120"/>
      <c r="SHG88" s="120"/>
      <c r="SHH88" s="120"/>
      <c r="SHI88" s="120"/>
      <c r="SHJ88" s="120"/>
      <c r="SHK88" s="120"/>
      <c r="SHL88" s="120"/>
      <c r="SHM88" s="120"/>
      <c r="SHN88" s="120"/>
      <c r="SHO88" s="120"/>
      <c r="SHP88" s="120"/>
      <c r="SHQ88" s="120"/>
      <c r="SHR88" s="120"/>
      <c r="SHS88" s="120"/>
      <c r="SHT88" s="120"/>
      <c r="SHU88" s="120"/>
      <c r="SHV88" s="120"/>
      <c r="SHW88" s="120"/>
      <c r="SHX88" s="120"/>
      <c r="SHY88" s="120"/>
      <c r="SHZ88" s="120"/>
      <c r="SIA88" s="120"/>
      <c r="SIB88" s="120"/>
      <c r="SIC88" s="120"/>
      <c r="SID88" s="120"/>
      <c r="SIE88" s="120"/>
      <c r="SIF88" s="120"/>
      <c r="SIG88" s="120"/>
      <c r="SIH88" s="120"/>
      <c r="SII88" s="120"/>
      <c r="SIJ88" s="120"/>
      <c r="SIK88" s="120"/>
      <c r="SIL88" s="120"/>
      <c r="SIM88" s="120"/>
      <c r="SIN88" s="120"/>
      <c r="SIO88" s="120"/>
      <c r="SIP88" s="120"/>
      <c r="SIQ88" s="120"/>
      <c r="SIR88" s="120"/>
      <c r="SIS88" s="120"/>
      <c r="SIT88" s="120"/>
      <c r="SIU88" s="120"/>
      <c r="SIV88" s="120"/>
      <c r="SIW88" s="120"/>
      <c r="SIX88" s="120"/>
      <c r="SIY88" s="120"/>
      <c r="SIZ88" s="120"/>
      <c r="SJA88" s="120"/>
      <c r="SJB88" s="120"/>
      <c r="SJC88" s="120"/>
      <c r="SJD88" s="120"/>
      <c r="SJE88" s="120"/>
      <c r="SJF88" s="120"/>
      <c r="SJG88" s="120"/>
      <c r="SJH88" s="120"/>
      <c r="SJI88" s="120"/>
      <c r="SJJ88" s="120"/>
      <c r="SJK88" s="120"/>
      <c r="SJL88" s="120"/>
      <c r="SJM88" s="120"/>
      <c r="SJN88" s="120"/>
      <c r="SJO88" s="120"/>
      <c r="SJP88" s="120"/>
      <c r="SJQ88" s="120"/>
      <c r="SJR88" s="120"/>
      <c r="SJS88" s="120"/>
      <c r="SJT88" s="120"/>
      <c r="SJU88" s="120"/>
      <c r="SJV88" s="120"/>
      <c r="SJW88" s="120"/>
      <c r="SJX88" s="120"/>
      <c r="SJY88" s="120"/>
      <c r="SJZ88" s="120"/>
      <c r="SKA88" s="120"/>
      <c r="SKB88" s="120"/>
      <c r="SKC88" s="120"/>
      <c r="SKD88" s="120"/>
      <c r="SKE88" s="120"/>
      <c r="SKF88" s="120"/>
      <c r="SKG88" s="120"/>
      <c r="SKH88" s="120"/>
      <c r="SKI88" s="120"/>
      <c r="SKJ88" s="120"/>
      <c r="SKK88" s="120"/>
      <c r="SKL88" s="120"/>
      <c r="SKM88" s="120"/>
      <c r="SKN88" s="120"/>
      <c r="SKO88" s="120"/>
      <c r="SKP88" s="120"/>
      <c r="SKQ88" s="120"/>
      <c r="SKR88" s="120"/>
      <c r="SKS88" s="120"/>
      <c r="SKT88" s="120"/>
      <c r="SKU88" s="120"/>
      <c r="SKV88" s="120"/>
      <c r="SKW88" s="120"/>
      <c r="SKX88" s="120"/>
      <c r="SKY88" s="120"/>
      <c r="SKZ88" s="120"/>
      <c r="SLA88" s="120"/>
      <c r="SLB88" s="120"/>
      <c r="SLC88" s="120"/>
      <c r="SLD88" s="120"/>
      <c r="SLE88" s="120"/>
      <c r="SLF88" s="120"/>
      <c r="SLG88" s="120"/>
      <c r="SLH88" s="120"/>
      <c r="SLI88" s="120"/>
      <c r="SLJ88" s="120"/>
      <c r="SLK88" s="120"/>
      <c r="SLL88" s="120"/>
      <c r="SLM88" s="120"/>
      <c r="SLN88" s="120"/>
      <c r="SLO88" s="120"/>
      <c r="SLP88" s="120"/>
      <c r="SLQ88" s="120"/>
      <c r="SLR88" s="120"/>
      <c r="SLS88" s="120"/>
      <c r="SLT88" s="120"/>
      <c r="SLU88" s="120"/>
      <c r="SLV88" s="120"/>
      <c r="SLW88" s="120"/>
      <c r="SLX88" s="120"/>
      <c r="SLY88" s="120"/>
      <c r="SLZ88" s="120"/>
      <c r="SMA88" s="120"/>
      <c r="SMB88" s="120"/>
      <c r="SMC88" s="120"/>
      <c r="SMD88" s="120"/>
      <c r="SME88" s="120"/>
      <c r="SMF88" s="120"/>
      <c r="SMG88" s="120"/>
      <c r="SMH88" s="120"/>
      <c r="SMI88" s="120"/>
      <c r="SMJ88" s="120"/>
      <c r="SMK88" s="120"/>
      <c r="SML88" s="120"/>
      <c r="SMM88" s="120"/>
      <c r="SMN88" s="120"/>
      <c r="SMO88" s="120"/>
      <c r="SMP88" s="120"/>
      <c r="SMQ88" s="120"/>
      <c r="SMR88" s="120"/>
      <c r="SMS88" s="120"/>
      <c r="SMT88" s="120"/>
      <c r="SMU88" s="120"/>
      <c r="SMV88" s="120"/>
      <c r="SMW88" s="120"/>
      <c r="SMX88" s="120"/>
      <c r="SMY88" s="120"/>
      <c r="SMZ88" s="120"/>
      <c r="SNA88" s="120"/>
      <c r="SNB88" s="120"/>
      <c r="SNC88" s="120"/>
      <c r="SND88" s="120"/>
      <c r="SNE88" s="120"/>
      <c r="SNF88" s="120"/>
      <c r="SNG88" s="120"/>
      <c r="SNH88" s="120"/>
      <c r="SNI88" s="120"/>
      <c r="SNJ88" s="120"/>
      <c r="SNK88" s="120"/>
      <c r="SNL88" s="120"/>
      <c r="SNM88" s="120"/>
      <c r="SNN88" s="120"/>
      <c r="SNO88" s="120"/>
      <c r="SNP88" s="120"/>
      <c r="SNQ88" s="120"/>
      <c r="SNR88" s="120"/>
      <c r="SNS88" s="120"/>
      <c r="SNT88" s="120"/>
      <c r="SNU88" s="120"/>
      <c r="SNV88" s="120"/>
      <c r="SNW88" s="120"/>
      <c r="SNX88" s="120"/>
      <c r="SNY88" s="120"/>
      <c r="SNZ88" s="120"/>
      <c r="SOA88" s="120"/>
      <c r="SOB88" s="120"/>
      <c r="SOC88" s="120"/>
      <c r="SOD88" s="120"/>
      <c r="SOE88" s="120"/>
      <c r="SOF88" s="120"/>
      <c r="SOG88" s="120"/>
      <c r="SOH88" s="120"/>
      <c r="SOI88" s="120"/>
      <c r="SOJ88" s="120"/>
      <c r="SOK88" s="120"/>
      <c r="SOL88" s="120"/>
      <c r="SOM88" s="120"/>
      <c r="SON88" s="120"/>
      <c r="SOO88" s="120"/>
      <c r="SOP88" s="120"/>
      <c r="SOQ88" s="120"/>
      <c r="SOR88" s="120"/>
      <c r="SOS88" s="120"/>
      <c r="SOT88" s="120"/>
      <c r="SOU88" s="120"/>
      <c r="SOV88" s="120"/>
      <c r="SOW88" s="120"/>
      <c r="SOX88" s="120"/>
      <c r="SOY88" s="120"/>
      <c r="SOZ88" s="120"/>
      <c r="SPA88" s="120"/>
      <c r="SPB88" s="120"/>
      <c r="SPC88" s="120"/>
      <c r="SPD88" s="120"/>
      <c r="SPE88" s="120"/>
      <c r="SPF88" s="120"/>
      <c r="SPG88" s="120"/>
      <c r="SPH88" s="120"/>
      <c r="SPI88" s="120"/>
      <c r="SPJ88" s="120"/>
      <c r="SPK88" s="120"/>
      <c r="SPL88" s="120"/>
      <c r="SPM88" s="120"/>
      <c r="SPN88" s="120"/>
      <c r="SPO88" s="120"/>
      <c r="SPP88" s="120"/>
      <c r="SPQ88" s="120"/>
      <c r="SPR88" s="120"/>
      <c r="SPS88" s="120"/>
      <c r="SPT88" s="120"/>
      <c r="SPU88" s="120"/>
      <c r="SPV88" s="120"/>
      <c r="SPW88" s="120"/>
      <c r="SPX88" s="120"/>
      <c r="SPY88" s="120"/>
      <c r="SPZ88" s="120"/>
      <c r="SQA88" s="120"/>
      <c r="SQB88" s="120"/>
      <c r="SQC88" s="120"/>
      <c r="SQD88" s="120"/>
      <c r="SQE88" s="120"/>
      <c r="SQF88" s="120"/>
      <c r="SQG88" s="120"/>
      <c r="SQH88" s="120"/>
      <c r="SQI88" s="120"/>
      <c r="SQJ88" s="120"/>
      <c r="SQK88" s="120"/>
      <c r="SQL88" s="120"/>
      <c r="SQM88" s="120"/>
      <c r="SQN88" s="120"/>
      <c r="SQO88" s="120"/>
      <c r="SQP88" s="120"/>
      <c r="SQQ88" s="120"/>
      <c r="SQR88" s="120"/>
      <c r="SQS88" s="120"/>
      <c r="SQT88" s="120"/>
      <c r="SQU88" s="120"/>
      <c r="SQV88" s="120"/>
      <c r="SQW88" s="120"/>
      <c r="SQX88" s="120"/>
      <c r="SQY88" s="120"/>
      <c r="SQZ88" s="120"/>
      <c r="SRA88" s="120"/>
      <c r="SRB88" s="120"/>
      <c r="SRC88" s="120"/>
      <c r="SRD88" s="120"/>
      <c r="SRE88" s="120"/>
      <c r="SRF88" s="120"/>
      <c r="SRG88" s="120"/>
      <c r="SRH88" s="120"/>
      <c r="SRI88" s="120"/>
      <c r="SRJ88" s="120"/>
      <c r="SRK88" s="120"/>
      <c r="SRL88" s="120"/>
      <c r="SRM88" s="120"/>
      <c r="SRN88" s="120"/>
      <c r="SRO88" s="120"/>
      <c r="SRP88" s="120"/>
      <c r="SRQ88" s="120"/>
      <c r="SRR88" s="120"/>
      <c r="SRS88" s="120"/>
      <c r="SRT88" s="120"/>
      <c r="SRU88" s="120"/>
      <c r="SRV88" s="120"/>
      <c r="SRW88" s="120"/>
      <c r="SRX88" s="120"/>
      <c r="SRY88" s="120"/>
      <c r="SRZ88" s="120"/>
      <c r="SSA88" s="120"/>
      <c r="SSB88" s="120"/>
      <c r="SSC88" s="120"/>
      <c r="SSD88" s="120"/>
      <c r="SSE88" s="120"/>
      <c r="SSF88" s="120"/>
      <c r="SSG88" s="120"/>
      <c r="SSH88" s="120"/>
      <c r="SSI88" s="120"/>
      <c r="SSJ88" s="120"/>
      <c r="SSK88" s="120"/>
      <c r="SSL88" s="120"/>
      <c r="SSM88" s="120"/>
      <c r="SSN88" s="120"/>
      <c r="SSO88" s="120"/>
      <c r="SSP88" s="120"/>
      <c r="SSQ88" s="120"/>
      <c r="SSR88" s="120"/>
      <c r="SSS88" s="120"/>
      <c r="SST88" s="120"/>
      <c r="SSU88" s="120"/>
      <c r="SSV88" s="120"/>
      <c r="SSW88" s="120"/>
      <c r="SSX88" s="120"/>
      <c r="SSY88" s="120"/>
      <c r="SSZ88" s="120"/>
      <c r="STA88" s="120"/>
      <c r="STB88" s="120"/>
      <c r="STC88" s="120"/>
      <c r="STD88" s="120"/>
      <c r="STE88" s="120"/>
      <c r="STF88" s="120"/>
      <c r="STG88" s="120"/>
      <c r="STH88" s="120"/>
      <c r="STI88" s="120"/>
      <c r="STJ88" s="120"/>
      <c r="STK88" s="120"/>
      <c r="STL88" s="120"/>
      <c r="STM88" s="120"/>
      <c r="STN88" s="120"/>
      <c r="STO88" s="120"/>
      <c r="STP88" s="120"/>
      <c r="STQ88" s="120"/>
      <c r="STR88" s="120"/>
      <c r="STS88" s="120"/>
      <c r="STT88" s="120"/>
      <c r="STU88" s="120"/>
      <c r="STV88" s="120"/>
      <c r="STW88" s="120"/>
      <c r="STX88" s="120"/>
      <c r="STY88" s="120"/>
      <c r="STZ88" s="120"/>
      <c r="SUA88" s="120"/>
      <c r="SUB88" s="120"/>
      <c r="SUC88" s="120"/>
      <c r="SUD88" s="120"/>
      <c r="SUE88" s="120"/>
      <c r="SUF88" s="120"/>
      <c r="SUG88" s="120"/>
      <c r="SUH88" s="120"/>
      <c r="SUI88" s="120"/>
      <c r="SUJ88" s="120"/>
      <c r="SUK88" s="120"/>
      <c r="SUL88" s="120"/>
      <c r="SUM88" s="120"/>
      <c r="SUN88" s="120"/>
      <c r="SUO88" s="120"/>
      <c r="SUP88" s="120"/>
      <c r="SUQ88" s="120"/>
      <c r="SUR88" s="120"/>
      <c r="SUS88" s="120"/>
      <c r="SUT88" s="120"/>
      <c r="SUU88" s="120"/>
      <c r="SUV88" s="120"/>
      <c r="SUW88" s="120"/>
      <c r="SUX88" s="120"/>
      <c r="SUY88" s="120"/>
      <c r="SUZ88" s="120"/>
      <c r="SVA88" s="120"/>
      <c r="SVB88" s="120"/>
      <c r="SVC88" s="120"/>
      <c r="SVD88" s="120"/>
      <c r="SVE88" s="120"/>
      <c r="SVF88" s="120"/>
      <c r="SVG88" s="120"/>
      <c r="SVH88" s="120"/>
      <c r="SVI88" s="120"/>
      <c r="SVJ88" s="120"/>
      <c r="SVK88" s="120"/>
      <c r="SVL88" s="120"/>
      <c r="SVM88" s="120"/>
      <c r="SVN88" s="120"/>
      <c r="SVO88" s="120"/>
      <c r="SVP88" s="120"/>
      <c r="SVQ88" s="120"/>
      <c r="SVR88" s="120"/>
      <c r="SVS88" s="120"/>
      <c r="SVT88" s="120"/>
      <c r="SVU88" s="120"/>
      <c r="SVV88" s="120"/>
      <c r="SVW88" s="120"/>
      <c r="SVX88" s="120"/>
      <c r="SVY88" s="120"/>
      <c r="SVZ88" s="120"/>
      <c r="SWA88" s="120"/>
      <c r="SWB88" s="120"/>
      <c r="SWC88" s="120"/>
      <c r="SWD88" s="120"/>
      <c r="SWE88" s="120"/>
      <c r="SWF88" s="120"/>
      <c r="SWG88" s="120"/>
      <c r="SWH88" s="120"/>
      <c r="SWI88" s="120"/>
      <c r="SWJ88" s="120"/>
      <c r="SWK88" s="120"/>
      <c r="SWL88" s="120"/>
      <c r="SWM88" s="120"/>
      <c r="SWN88" s="120"/>
      <c r="SWO88" s="120"/>
      <c r="SWP88" s="120"/>
      <c r="SWQ88" s="120"/>
      <c r="SWR88" s="120"/>
      <c r="SWS88" s="120"/>
      <c r="SWT88" s="120"/>
      <c r="SWU88" s="120"/>
      <c r="SWV88" s="120"/>
      <c r="SWW88" s="120"/>
      <c r="SWX88" s="120"/>
      <c r="SWY88" s="120"/>
      <c r="SWZ88" s="120"/>
      <c r="SXA88" s="120"/>
      <c r="SXB88" s="120"/>
      <c r="SXC88" s="120"/>
      <c r="SXD88" s="120"/>
      <c r="SXE88" s="120"/>
      <c r="SXF88" s="120"/>
      <c r="SXG88" s="120"/>
      <c r="SXH88" s="120"/>
      <c r="SXI88" s="120"/>
      <c r="SXJ88" s="120"/>
      <c r="SXK88" s="120"/>
      <c r="SXL88" s="120"/>
      <c r="SXM88" s="120"/>
      <c r="SXN88" s="120"/>
      <c r="SXO88" s="120"/>
      <c r="SXP88" s="120"/>
      <c r="SXQ88" s="120"/>
      <c r="SXR88" s="120"/>
      <c r="SXS88" s="120"/>
      <c r="SXT88" s="120"/>
      <c r="SXU88" s="120"/>
      <c r="SXV88" s="120"/>
      <c r="SXW88" s="120"/>
      <c r="SXX88" s="120"/>
      <c r="SXY88" s="120"/>
      <c r="SXZ88" s="120"/>
      <c r="SYA88" s="120"/>
      <c r="SYB88" s="120"/>
      <c r="SYC88" s="120"/>
      <c r="SYD88" s="120"/>
      <c r="SYE88" s="120"/>
      <c r="SYF88" s="120"/>
      <c r="SYG88" s="120"/>
      <c r="SYH88" s="120"/>
      <c r="SYI88" s="120"/>
      <c r="SYJ88" s="120"/>
      <c r="SYK88" s="120"/>
      <c r="SYL88" s="120"/>
      <c r="SYM88" s="120"/>
      <c r="SYN88" s="120"/>
      <c r="SYO88" s="120"/>
      <c r="SYP88" s="120"/>
      <c r="SYQ88" s="120"/>
      <c r="SYR88" s="120"/>
      <c r="SYS88" s="120"/>
      <c r="SYT88" s="120"/>
      <c r="SYU88" s="120"/>
      <c r="SYV88" s="120"/>
      <c r="SYW88" s="120"/>
      <c r="SYX88" s="120"/>
      <c r="SYY88" s="120"/>
      <c r="SYZ88" s="120"/>
      <c r="SZA88" s="120"/>
      <c r="SZB88" s="120"/>
      <c r="SZC88" s="120"/>
      <c r="SZD88" s="120"/>
      <c r="SZE88" s="120"/>
      <c r="SZF88" s="120"/>
      <c r="SZG88" s="120"/>
      <c r="SZH88" s="120"/>
      <c r="SZI88" s="120"/>
      <c r="SZJ88" s="120"/>
      <c r="SZK88" s="120"/>
      <c r="SZL88" s="120"/>
      <c r="SZM88" s="120"/>
      <c r="SZN88" s="120"/>
      <c r="SZO88" s="120"/>
      <c r="SZP88" s="120"/>
      <c r="SZQ88" s="120"/>
      <c r="SZR88" s="120"/>
      <c r="SZS88" s="120"/>
      <c r="SZT88" s="120"/>
      <c r="SZU88" s="120"/>
      <c r="SZV88" s="120"/>
      <c r="SZW88" s="120"/>
      <c r="SZX88" s="120"/>
      <c r="SZY88" s="120"/>
      <c r="SZZ88" s="120"/>
      <c r="TAA88" s="120"/>
      <c r="TAB88" s="120"/>
      <c r="TAC88" s="120"/>
      <c r="TAD88" s="120"/>
      <c r="TAE88" s="120"/>
      <c r="TAF88" s="120"/>
      <c r="TAG88" s="120"/>
      <c r="TAH88" s="120"/>
      <c r="TAI88" s="120"/>
      <c r="TAJ88" s="120"/>
      <c r="TAK88" s="120"/>
      <c r="TAL88" s="120"/>
      <c r="TAM88" s="120"/>
      <c r="TAN88" s="120"/>
      <c r="TAO88" s="120"/>
      <c r="TAP88" s="120"/>
      <c r="TAQ88" s="120"/>
      <c r="TAR88" s="120"/>
      <c r="TAS88" s="120"/>
      <c r="TAT88" s="120"/>
      <c r="TAU88" s="120"/>
      <c r="TAV88" s="120"/>
      <c r="TAW88" s="120"/>
      <c r="TAX88" s="120"/>
      <c r="TAY88" s="120"/>
      <c r="TAZ88" s="120"/>
      <c r="TBA88" s="120"/>
      <c r="TBB88" s="120"/>
      <c r="TBC88" s="120"/>
      <c r="TBD88" s="120"/>
      <c r="TBE88" s="120"/>
      <c r="TBF88" s="120"/>
      <c r="TBG88" s="120"/>
      <c r="TBH88" s="120"/>
      <c r="TBI88" s="120"/>
      <c r="TBJ88" s="120"/>
      <c r="TBK88" s="120"/>
      <c r="TBL88" s="120"/>
      <c r="TBM88" s="120"/>
      <c r="TBN88" s="120"/>
      <c r="TBO88" s="120"/>
      <c r="TBP88" s="120"/>
      <c r="TBQ88" s="120"/>
      <c r="TBR88" s="120"/>
      <c r="TBS88" s="120"/>
      <c r="TBT88" s="120"/>
      <c r="TBU88" s="120"/>
      <c r="TBV88" s="120"/>
      <c r="TBW88" s="120"/>
      <c r="TBX88" s="120"/>
      <c r="TBY88" s="120"/>
      <c r="TBZ88" s="120"/>
      <c r="TCA88" s="120"/>
      <c r="TCB88" s="120"/>
      <c r="TCC88" s="120"/>
      <c r="TCD88" s="120"/>
      <c r="TCE88" s="120"/>
      <c r="TCF88" s="120"/>
      <c r="TCG88" s="120"/>
      <c r="TCH88" s="120"/>
      <c r="TCI88" s="120"/>
      <c r="TCJ88" s="120"/>
      <c r="TCK88" s="120"/>
      <c r="TCL88" s="120"/>
      <c r="TCM88" s="120"/>
      <c r="TCN88" s="120"/>
      <c r="TCO88" s="120"/>
      <c r="TCP88" s="120"/>
      <c r="TCQ88" s="120"/>
      <c r="TCR88" s="120"/>
      <c r="TCS88" s="120"/>
      <c r="TCT88" s="120"/>
      <c r="TCU88" s="120"/>
      <c r="TCV88" s="120"/>
      <c r="TCW88" s="120"/>
      <c r="TCX88" s="120"/>
      <c r="TCY88" s="120"/>
      <c r="TCZ88" s="120"/>
      <c r="TDA88" s="120"/>
      <c r="TDB88" s="120"/>
      <c r="TDC88" s="120"/>
      <c r="TDD88" s="120"/>
      <c r="TDE88" s="120"/>
      <c r="TDF88" s="120"/>
      <c r="TDG88" s="120"/>
      <c r="TDH88" s="120"/>
      <c r="TDI88" s="120"/>
      <c r="TDJ88" s="120"/>
      <c r="TDK88" s="120"/>
      <c r="TDL88" s="120"/>
      <c r="TDM88" s="120"/>
      <c r="TDN88" s="120"/>
      <c r="TDO88" s="120"/>
      <c r="TDP88" s="120"/>
      <c r="TDQ88" s="120"/>
      <c r="TDR88" s="120"/>
      <c r="TDS88" s="120"/>
      <c r="TDT88" s="120"/>
      <c r="TDU88" s="120"/>
      <c r="TDV88" s="120"/>
      <c r="TDW88" s="120"/>
      <c r="TDX88" s="120"/>
      <c r="TDY88" s="120"/>
      <c r="TDZ88" s="120"/>
      <c r="TEA88" s="120"/>
      <c r="TEB88" s="120"/>
      <c r="TEC88" s="120"/>
      <c r="TED88" s="120"/>
      <c r="TEE88" s="120"/>
      <c r="TEF88" s="120"/>
      <c r="TEG88" s="120"/>
      <c r="TEH88" s="120"/>
      <c r="TEI88" s="120"/>
      <c r="TEJ88" s="120"/>
      <c r="TEK88" s="120"/>
      <c r="TEL88" s="120"/>
      <c r="TEM88" s="120"/>
      <c r="TEN88" s="120"/>
      <c r="TEO88" s="120"/>
      <c r="TEP88" s="120"/>
      <c r="TEQ88" s="120"/>
      <c r="TER88" s="120"/>
      <c r="TES88" s="120"/>
      <c r="TET88" s="120"/>
      <c r="TEU88" s="120"/>
      <c r="TEV88" s="120"/>
      <c r="TEW88" s="120"/>
      <c r="TEX88" s="120"/>
      <c r="TEY88" s="120"/>
      <c r="TEZ88" s="120"/>
      <c r="TFA88" s="120"/>
      <c r="TFB88" s="120"/>
      <c r="TFC88" s="120"/>
      <c r="TFD88" s="120"/>
      <c r="TFE88" s="120"/>
      <c r="TFF88" s="120"/>
      <c r="TFG88" s="120"/>
      <c r="TFH88" s="120"/>
      <c r="TFI88" s="120"/>
      <c r="TFJ88" s="120"/>
      <c r="TFK88" s="120"/>
      <c r="TFL88" s="120"/>
      <c r="TFM88" s="120"/>
      <c r="TFN88" s="120"/>
      <c r="TFO88" s="120"/>
      <c r="TFP88" s="120"/>
      <c r="TFQ88" s="120"/>
      <c r="TFR88" s="120"/>
      <c r="TFS88" s="120"/>
      <c r="TFT88" s="120"/>
      <c r="TFU88" s="120"/>
      <c r="TFV88" s="120"/>
      <c r="TFW88" s="120"/>
      <c r="TFX88" s="120"/>
      <c r="TFY88" s="120"/>
      <c r="TFZ88" s="120"/>
      <c r="TGA88" s="120"/>
      <c r="TGB88" s="120"/>
      <c r="TGC88" s="120"/>
      <c r="TGD88" s="120"/>
      <c r="TGE88" s="120"/>
      <c r="TGF88" s="120"/>
      <c r="TGG88" s="120"/>
      <c r="TGH88" s="120"/>
      <c r="TGI88" s="120"/>
      <c r="TGJ88" s="120"/>
      <c r="TGK88" s="120"/>
      <c r="TGL88" s="120"/>
      <c r="TGM88" s="120"/>
      <c r="TGN88" s="120"/>
      <c r="TGO88" s="120"/>
      <c r="TGP88" s="120"/>
      <c r="TGQ88" s="120"/>
      <c r="TGR88" s="120"/>
      <c r="TGS88" s="120"/>
      <c r="TGT88" s="120"/>
      <c r="TGU88" s="120"/>
      <c r="TGV88" s="120"/>
      <c r="TGW88" s="120"/>
      <c r="TGX88" s="120"/>
      <c r="TGY88" s="120"/>
      <c r="TGZ88" s="120"/>
      <c r="THA88" s="120"/>
      <c r="THB88" s="120"/>
      <c r="THC88" s="120"/>
      <c r="THD88" s="120"/>
      <c r="THE88" s="120"/>
      <c r="THF88" s="120"/>
      <c r="THG88" s="120"/>
      <c r="THH88" s="120"/>
      <c r="THI88" s="120"/>
      <c r="THJ88" s="120"/>
      <c r="THK88" s="120"/>
      <c r="THL88" s="120"/>
      <c r="THM88" s="120"/>
      <c r="THN88" s="120"/>
      <c r="THO88" s="120"/>
      <c r="THP88" s="120"/>
      <c r="THQ88" s="120"/>
      <c r="THR88" s="120"/>
      <c r="THS88" s="120"/>
      <c r="THT88" s="120"/>
      <c r="THU88" s="120"/>
      <c r="THV88" s="120"/>
      <c r="THW88" s="120"/>
      <c r="THX88" s="120"/>
      <c r="THY88" s="120"/>
      <c r="THZ88" s="120"/>
      <c r="TIA88" s="120"/>
      <c r="TIB88" s="120"/>
      <c r="TIC88" s="120"/>
      <c r="TID88" s="120"/>
      <c r="TIE88" s="120"/>
      <c r="TIF88" s="120"/>
      <c r="TIG88" s="120"/>
      <c r="TIH88" s="120"/>
      <c r="TII88" s="120"/>
      <c r="TIJ88" s="120"/>
      <c r="TIK88" s="120"/>
      <c r="TIL88" s="120"/>
      <c r="TIM88" s="120"/>
      <c r="TIN88" s="120"/>
      <c r="TIO88" s="120"/>
      <c r="TIP88" s="120"/>
      <c r="TIQ88" s="120"/>
      <c r="TIR88" s="120"/>
      <c r="TIS88" s="120"/>
      <c r="TIT88" s="120"/>
      <c r="TIU88" s="120"/>
      <c r="TIV88" s="120"/>
      <c r="TIW88" s="120"/>
      <c r="TIX88" s="120"/>
      <c r="TIY88" s="120"/>
      <c r="TIZ88" s="120"/>
      <c r="TJA88" s="120"/>
      <c r="TJB88" s="120"/>
      <c r="TJC88" s="120"/>
      <c r="TJD88" s="120"/>
      <c r="TJE88" s="120"/>
      <c r="TJF88" s="120"/>
      <c r="TJG88" s="120"/>
      <c r="TJH88" s="120"/>
      <c r="TJI88" s="120"/>
      <c r="TJJ88" s="120"/>
      <c r="TJK88" s="120"/>
      <c r="TJL88" s="120"/>
      <c r="TJM88" s="120"/>
      <c r="TJN88" s="120"/>
      <c r="TJO88" s="120"/>
      <c r="TJP88" s="120"/>
      <c r="TJQ88" s="120"/>
      <c r="TJR88" s="120"/>
      <c r="TJS88" s="120"/>
      <c r="TJT88" s="120"/>
      <c r="TJU88" s="120"/>
      <c r="TJV88" s="120"/>
      <c r="TJW88" s="120"/>
      <c r="TJX88" s="120"/>
      <c r="TJY88" s="120"/>
      <c r="TJZ88" s="120"/>
      <c r="TKA88" s="120"/>
      <c r="TKB88" s="120"/>
      <c r="TKC88" s="120"/>
      <c r="TKD88" s="120"/>
      <c r="TKE88" s="120"/>
      <c r="TKF88" s="120"/>
      <c r="TKG88" s="120"/>
      <c r="TKH88" s="120"/>
      <c r="TKI88" s="120"/>
      <c r="TKJ88" s="120"/>
      <c r="TKK88" s="120"/>
      <c r="TKL88" s="120"/>
      <c r="TKM88" s="120"/>
      <c r="TKN88" s="120"/>
      <c r="TKO88" s="120"/>
      <c r="TKP88" s="120"/>
      <c r="TKQ88" s="120"/>
      <c r="TKR88" s="120"/>
      <c r="TKS88" s="120"/>
      <c r="TKT88" s="120"/>
      <c r="TKU88" s="120"/>
      <c r="TKV88" s="120"/>
      <c r="TKW88" s="120"/>
      <c r="TKX88" s="120"/>
      <c r="TKY88" s="120"/>
      <c r="TKZ88" s="120"/>
      <c r="TLA88" s="120"/>
      <c r="TLB88" s="120"/>
      <c r="TLC88" s="120"/>
      <c r="TLD88" s="120"/>
      <c r="TLE88" s="120"/>
      <c r="TLF88" s="120"/>
      <c r="TLG88" s="120"/>
      <c r="TLH88" s="120"/>
      <c r="TLI88" s="120"/>
      <c r="TLJ88" s="120"/>
      <c r="TLK88" s="120"/>
      <c r="TLL88" s="120"/>
      <c r="TLM88" s="120"/>
      <c r="TLN88" s="120"/>
      <c r="TLO88" s="120"/>
      <c r="TLP88" s="120"/>
      <c r="TLQ88" s="120"/>
      <c r="TLR88" s="120"/>
      <c r="TLS88" s="120"/>
      <c r="TLT88" s="120"/>
      <c r="TLU88" s="120"/>
      <c r="TLV88" s="120"/>
      <c r="TLW88" s="120"/>
      <c r="TLX88" s="120"/>
      <c r="TLY88" s="120"/>
      <c r="TLZ88" s="120"/>
      <c r="TMA88" s="120"/>
      <c r="TMB88" s="120"/>
      <c r="TMC88" s="120"/>
      <c r="TMD88" s="120"/>
      <c r="TME88" s="120"/>
      <c r="TMF88" s="120"/>
      <c r="TMG88" s="120"/>
      <c r="TMH88" s="120"/>
      <c r="TMI88" s="120"/>
      <c r="TMJ88" s="120"/>
      <c r="TMK88" s="120"/>
      <c r="TML88" s="120"/>
      <c r="TMM88" s="120"/>
      <c r="TMN88" s="120"/>
      <c r="TMO88" s="120"/>
      <c r="TMP88" s="120"/>
      <c r="TMQ88" s="120"/>
      <c r="TMR88" s="120"/>
      <c r="TMS88" s="120"/>
      <c r="TMT88" s="120"/>
      <c r="TMU88" s="120"/>
      <c r="TMV88" s="120"/>
      <c r="TMW88" s="120"/>
      <c r="TMX88" s="120"/>
      <c r="TMY88" s="120"/>
      <c r="TMZ88" s="120"/>
      <c r="TNA88" s="120"/>
      <c r="TNB88" s="120"/>
      <c r="TNC88" s="120"/>
      <c r="TND88" s="120"/>
      <c r="TNE88" s="120"/>
      <c r="TNF88" s="120"/>
      <c r="TNG88" s="120"/>
      <c r="TNH88" s="120"/>
      <c r="TNI88" s="120"/>
      <c r="TNJ88" s="120"/>
      <c r="TNK88" s="120"/>
      <c r="TNL88" s="120"/>
      <c r="TNM88" s="120"/>
      <c r="TNN88" s="120"/>
      <c r="TNO88" s="120"/>
      <c r="TNP88" s="120"/>
      <c r="TNQ88" s="120"/>
      <c r="TNR88" s="120"/>
      <c r="TNS88" s="120"/>
      <c r="TNT88" s="120"/>
      <c r="TNU88" s="120"/>
      <c r="TNV88" s="120"/>
      <c r="TNW88" s="120"/>
      <c r="TNX88" s="120"/>
      <c r="TNY88" s="120"/>
      <c r="TNZ88" s="120"/>
      <c r="TOA88" s="120"/>
      <c r="TOB88" s="120"/>
      <c r="TOC88" s="120"/>
      <c r="TOD88" s="120"/>
      <c r="TOE88" s="120"/>
      <c r="TOF88" s="120"/>
      <c r="TOG88" s="120"/>
      <c r="TOH88" s="120"/>
      <c r="TOI88" s="120"/>
      <c r="TOJ88" s="120"/>
      <c r="TOK88" s="120"/>
      <c r="TOL88" s="120"/>
      <c r="TOM88" s="120"/>
      <c r="TON88" s="120"/>
      <c r="TOO88" s="120"/>
      <c r="TOP88" s="120"/>
      <c r="TOQ88" s="120"/>
      <c r="TOR88" s="120"/>
      <c r="TOS88" s="120"/>
      <c r="TOT88" s="120"/>
      <c r="TOU88" s="120"/>
      <c r="TOV88" s="120"/>
      <c r="TOW88" s="120"/>
      <c r="TOX88" s="120"/>
      <c r="TOY88" s="120"/>
      <c r="TOZ88" s="120"/>
      <c r="TPA88" s="120"/>
      <c r="TPB88" s="120"/>
      <c r="TPC88" s="120"/>
      <c r="TPD88" s="120"/>
      <c r="TPE88" s="120"/>
      <c r="TPF88" s="120"/>
      <c r="TPG88" s="120"/>
      <c r="TPH88" s="120"/>
      <c r="TPI88" s="120"/>
      <c r="TPJ88" s="120"/>
      <c r="TPK88" s="120"/>
      <c r="TPL88" s="120"/>
      <c r="TPM88" s="120"/>
      <c r="TPN88" s="120"/>
      <c r="TPO88" s="120"/>
      <c r="TPP88" s="120"/>
      <c r="TPQ88" s="120"/>
      <c r="TPR88" s="120"/>
      <c r="TPS88" s="120"/>
      <c r="TPT88" s="120"/>
      <c r="TPU88" s="120"/>
      <c r="TPV88" s="120"/>
      <c r="TPW88" s="120"/>
      <c r="TPX88" s="120"/>
      <c r="TPY88" s="120"/>
      <c r="TPZ88" s="120"/>
      <c r="TQA88" s="120"/>
      <c r="TQB88" s="120"/>
      <c r="TQC88" s="120"/>
      <c r="TQD88" s="120"/>
      <c r="TQE88" s="120"/>
      <c r="TQF88" s="120"/>
      <c r="TQG88" s="120"/>
      <c r="TQH88" s="120"/>
      <c r="TQI88" s="120"/>
      <c r="TQJ88" s="120"/>
      <c r="TQK88" s="120"/>
      <c r="TQL88" s="120"/>
      <c r="TQM88" s="120"/>
      <c r="TQN88" s="120"/>
      <c r="TQO88" s="120"/>
      <c r="TQP88" s="120"/>
      <c r="TQQ88" s="120"/>
      <c r="TQR88" s="120"/>
      <c r="TQS88" s="120"/>
      <c r="TQT88" s="120"/>
      <c r="TQU88" s="120"/>
      <c r="TQV88" s="120"/>
      <c r="TQW88" s="120"/>
      <c r="TQX88" s="120"/>
      <c r="TQY88" s="120"/>
      <c r="TQZ88" s="120"/>
      <c r="TRA88" s="120"/>
      <c r="TRB88" s="120"/>
      <c r="TRC88" s="120"/>
      <c r="TRD88" s="120"/>
      <c r="TRE88" s="120"/>
      <c r="TRF88" s="120"/>
      <c r="TRG88" s="120"/>
      <c r="TRH88" s="120"/>
      <c r="TRI88" s="120"/>
      <c r="TRJ88" s="120"/>
      <c r="TRK88" s="120"/>
      <c r="TRL88" s="120"/>
      <c r="TRM88" s="120"/>
      <c r="TRN88" s="120"/>
      <c r="TRO88" s="120"/>
      <c r="TRP88" s="120"/>
      <c r="TRQ88" s="120"/>
      <c r="TRR88" s="120"/>
      <c r="TRS88" s="120"/>
      <c r="TRT88" s="120"/>
      <c r="TRU88" s="120"/>
      <c r="TRV88" s="120"/>
      <c r="TRW88" s="120"/>
      <c r="TRX88" s="120"/>
      <c r="TRY88" s="120"/>
      <c r="TRZ88" s="120"/>
      <c r="TSA88" s="120"/>
      <c r="TSB88" s="120"/>
      <c r="TSC88" s="120"/>
      <c r="TSD88" s="120"/>
      <c r="TSE88" s="120"/>
      <c r="TSF88" s="120"/>
      <c r="TSG88" s="120"/>
      <c r="TSH88" s="120"/>
      <c r="TSI88" s="120"/>
      <c r="TSJ88" s="120"/>
      <c r="TSK88" s="120"/>
      <c r="TSL88" s="120"/>
      <c r="TSM88" s="120"/>
      <c r="TSN88" s="120"/>
      <c r="TSO88" s="120"/>
      <c r="TSP88" s="120"/>
      <c r="TSQ88" s="120"/>
      <c r="TSR88" s="120"/>
      <c r="TSS88" s="120"/>
      <c r="TST88" s="120"/>
      <c r="TSU88" s="120"/>
      <c r="TSV88" s="120"/>
      <c r="TSW88" s="120"/>
      <c r="TSX88" s="120"/>
      <c r="TSY88" s="120"/>
      <c r="TSZ88" s="120"/>
      <c r="TTA88" s="120"/>
      <c r="TTB88" s="120"/>
      <c r="TTC88" s="120"/>
      <c r="TTD88" s="120"/>
      <c r="TTE88" s="120"/>
      <c r="TTF88" s="120"/>
      <c r="TTG88" s="120"/>
      <c r="TTH88" s="120"/>
      <c r="TTI88" s="120"/>
      <c r="TTJ88" s="120"/>
      <c r="TTK88" s="120"/>
      <c r="TTL88" s="120"/>
      <c r="TTM88" s="120"/>
      <c r="TTN88" s="120"/>
      <c r="TTO88" s="120"/>
      <c r="TTP88" s="120"/>
      <c r="TTQ88" s="120"/>
      <c r="TTR88" s="120"/>
      <c r="TTS88" s="120"/>
      <c r="TTT88" s="120"/>
      <c r="TTU88" s="120"/>
      <c r="TTV88" s="120"/>
      <c r="TTW88" s="120"/>
      <c r="TTX88" s="120"/>
      <c r="TTY88" s="120"/>
      <c r="TTZ88" s="120"/>
      <c r="TUA88" s="120"/>
      <c r="TUB88" s="120"/>
      <c r="TUC88" s="120"/>
      <c r="TUD88" s="120"/>
      <c r="TUE88" s="120"/>
      <c r="TUF88" s="120"/>
      <c r="TUG88" s="120"/>
      <c r="TUH88" s="120"/>
      <c r="TUI88" s="120"/>
      <c r="TUJ88" s="120"/>
      <c r="TUK88" s="120"/>
      <c r="TUL88" s="120"/>
      <c r="TUM88" s="120"/>
      <c r="TUN88" s="120"/>
      <c r="TUO88" s="120"/>
      <c r="TUP88" s="120"/>
      <c r="TUQ88" s="120"/>
      <c r="TUR88" s="120"/>
      <c r="TUS88" s="120"/>
      <c r="TUT88" s="120"/>
      <c r="TUU88" s="120"/>
      <c r="TUV88" s="120"/>
      <c r="TUW88" s="120"/>
      <c r="TUX88" s="120"/>
      <c r="TUY88" s="120"/>
      <c r="TUZ88" s="120"/>
      <c r="TVA88" s="120"/>
      <c r="TVB88" s="120"/>
      <c r="TVC88" s="120"/>
      <c r="TVD88" s="120"/>
      <c r="TVE88" s="120"/>
      <c r="TVF88" s="120"/>
      <c r="TVG88" s="120"/>
      <c r="TVH88" s="120"/>
      <c r="TVI88" s="120"/>
      <c r="TVJ88" s="120"/>
      <c r="TVK88" s="120"/>
      <c r="TVL88" s="120"/>
      <c r="TVM88" s="120"/>
      <c r="TVN88" s="120"/>
      <c r="TVO88" s="120"/>
      <c r="TVP88" s="120"/>
      <c r="TVQ88" s="120"/>
      <c r="TVR88" s="120"/>
      <c r="TVS88" s="120"/>
      <c r="TVT88" s="120"/>
      <c r="TVU88" s="120"/>
      <c r="TVV88" s="120"/>
      <c r="TVW88" s="120"/>
      <c r="TVX88" s="120"/>
      <c r="TVY88" s="120"/>
      <c r="TVZ88" s="120"/>
      <c r="TWA88" s="120"/>
      <c r="TWB88" s="120"/>
      <c r="TWC88" s="120"/>
      <c r="TWD88" s="120"/>
      <c r="TWE88" s="120"/>
      <c r="TWF88" s="120"/>
      <c r="TWG88" s="120"/>
      <c r="TWH88" s="120"/>
      <c r="TWI88" s="120"/>
      <c r="TWJ88" s="120"/>
      <c r="TWK88" s="120"/>
      <c r="TWL88" s="120"/>
      <c r="TWM88" s="120"/>
      <c r="TWN88" s="120"/>
      <c r="TWO88" s="120"/>
      <c r="TWP88" s="120"/>
      <c r="TWQ88" s="120"/>
      <c r="TWR88" s="120"/>
      <c r="TWS88" s="120"/>
      <c r="TWT88" s="120"/>
      <c r="TWU88" s="120"/>
      <c r="TWV88" s="120"/>
      <c r="TWW88" s="120"/>
      <c r="TWX88" s="120"/>
      <c r="TWY88" s="120"/>
      <c r="TWZ88" s="120"/>
      <c r="TXA88" s="120"/>
      <c r="TXB88" s="120"/>
      <c r="TXC88" s="120"/>
      <c r="TXD88" s="120"/>
      <c r="TXE88" s="120"/>
      <c r="TXF88" s="120"/>
      <c r="TXG88" s="120"/>
      <c r="TXH88" s="120"/>
      <c r="TXI88" s="120"/>
      <c r="TXJ88" s="120"/>
      <c r="TXK88" s="120"/>
      <c r="TXL88" s="120"/>
      <c r="TXM88" s="120"/>
      <c r="TXN88" s="120"/>
      <c r="TXO88" s="120"/>
      <c r="TXP88" s="120"/>
      <c r="TXQ88" s="120"/>
      <c r="TXR88" s="120"/>
      <c r="TXS88" s="120"/>
      <c r="TXT88" s="120"/>
      <c r="TXU88" s="120"/>
      <c r="TXV88" s="120"/>
      <c r="TXW88" s="120"/>
      <c r="TXX88" s="120"/>
      <c r="TXY88" s="120"/>
      <c r="TXZ88" s="120"/>
      <c r="TYA88" s="120"/>
      <c r="TYB88" s="120"/>
      <c r="TYC88" s="120"/>
      <c r="TYD88" s="120"/>
      <c r="TYE88" s="120"/>
      <c r="TYF88" s="120"/>
      <c r="TYG88" s="120"/>
      <c r="TYH88" s="120"/>
      <c r="TYI88" s="120"/>
      <c r="TYJ88" s="120"/>
      <c r="TYK88" s="120"/>
      <c r="TYL88" s="120"/>
      <c r="TYM88" s="120"/>
      <c r="TYN88" s="120"/>
      <c r="TYO88" s="120"/>
      <c r="TYP88" s="120"/>
      <c r="TYQ88" s="120"/>
      <c r="TYR88" s="120"/>
      <c r="TYS88" s="120"/>
      <c r="TYT88" s="120"/>
      <c r="TYU88" s="120"/>
      <c r="TYV88" s="120"/>
      <c r="TYW88" s="120"/>
      <c r="TYX88" s="120"/>
      <c r="TYY88" s="120"/>
      <c r="TYZ88" s="120"/>
      <c r="TZA88" s="120"/>
      <c r="TZB88" s="120"/>
      <c r="TZC88" s="120"/>
      <c r="TZD88" s="120"/>
      <c r="TZE88" s="120"/>
      <c r="TZF88" s="120"/>
      <c r="TZG88" s="120"/>
      <c r="TZH88" s="120"/>
      <c r="TZI88" s="120"/>
      <c r="TZJ88" s="120"/>
      <c r="TZK88" s="120"/>
      <c r="TZL88" s="120"/>
      <c r="TZM88" s="120"/>
      <c r="TZN88" s="120"/>
      <c r="TZO88" s="120"/>
      <c r="TZP88" s="120"/>
      <c r="TZQ88" s="120"/>
      <c r="TZR88" s="120"/>
      <c r="TZS88" s="120"/>
      <c r="TZT88" s="120"/>
      <c r="TZU88" s="120"/>
      <c r="TZV88" s="120"/>
      <c r="TZW88" s="120"/>
      <c r="TZX88" s="120"/>
      <c r="TZY88" s="120"/>
      <c r="TZZ88" s="120"/>
      <c r="UAA88" s="120"/>
      <c r="UAB88" s="120"/>
      <c r="UAC88" s="120"/>
      <c r="UAD88" s="120"/>
      <c r="UAE88" s="120"/>
      <c r="UAF88" s="120"/>
      <c r="UAG88" s="120"/>
      <c r="UAH88" s="120"/>
      <c r="UAI88" s="120"/>
      <c r="UAJ88" s="120"/>
      <c r="UAK88" s="120"/>
      <c r="UAL88" s="120"/>
      <c r="UAM88" s="120"/>
      <c r="UAN88" s="120"/>
      <c r="UAO88" s="120"/>
      <c r="UAP88" s="120"/>
      <c r="UAQ88" s="120"/>
      <c r="UAR88" s="120"/>
      <c r="UAS88" s="120"/>
      <c r="UAT88" s="120"/>
      <c r="UAU88" s="120"/>
      <c r="UAV88" s="120"/>
      <c r="UAW88" s="120"/>
      <c r="UAX88" s="120"/>
      <c r="UAY88" s="120"/>
      <c r="UAZ88" s="120"/>
      <c r="UBA88" s="120"/>
      <c r="UBB88" s="120"/>
      <c r="UBC88" s="120"/>
      <c r="UBD88" s="120"/>
      <c r="UBE88" s="120"/>
      <c r="UBF88" s="120"/>
      <c r="UBG88" s="120"/>
      <c r="UBH88" s="120"/>
      <c r="UBI88" s="120"/>
      <c r="UBJ88" s="120"/>
      <c r="UBK88" s="120"/>
      <c r="UBL88" s="120"/>
      <c r="UBM88" s="120"/>
      <c r="UBN88" s="120"/>
      <c r="UBO88" s="120"/>
      <c r="UBP88" s="120"/>
      <c r="UBQ88" s="120"/>
      <c r="UBR88" s="120"/>
      <c r="UBS88" s="120"/>
      <c r="UBT88" s="120"/>
      <c r="UBU88" s="120"/>
      <c r="UBV88" s="120"/>
      <c r="UBW88" s="120"/>
      <c r="UBX88" s="120"/>
      <c r="UBY88" s="120"/>
      <c r="UBZ88" s="120"/>
      <c r="UCA88" s="120"/>
      <c r="UCB88" s="120"/>
      <c r="UCC88" s="120"/>
      <c r="UCD88" s="120"/>
      <c r="UCE88" s="120"/>
      <c r="UCF88" s="120"/>
      <c r="UCG88" s="120"/>
      <c r="UCH88" s="120"/>
      <c r="UCI88" s="120"/>
      <c r="UCJ88" s="120"/>
      <c r="UCK88" s="120"/>
      <c r="UCL88" s="120"/>
      <c r="UCM88" s="120"/>
      <c r="UCN88" s="120"/>
      <c r="UCO88" s="120"/>
      <c r="UCP88" s="120"/>
      <c r="UCQ88" s="120"/>
      <c r="UCR88" s="120"/>
      <c r="UCS88" s="120"/>
      <c r="UCT88" s="120"/>
      <c r="UCU88" s="120"/>
      <c r="UCV88" s="120"/>
      <c r="UCW88" s="120"/>
      <c r="UCX88" s="120"/>
      <c r="UCY88" s="120"/>
      <c r="UCZ88" s="120"/>
      <c r="UDA88" s="120"/>
      <c r="UDB88" s="120"/>
      <c r="UDC88" s="120"/>
      <c r="UDD88" s="120"/>
      <c r="UDE88" s="120"/>
      <c r="UDF88" s="120"/>
      <c r="UDG88" s="120"/>
      <c r="UDH88" s="120"/>
      <c r="UDI88" s="120"/>
      <c r="UDJ88" s="120"/>
      <c r="UDK88" s="120"/>
      <c r="UDL88" s="120"/>
      <c r="UDM88" s="120"/>
      <c r="UDN88" s="120"/>
      <c r="UDO88" s="120"/>
      <c r="UDP88" s="120"/>
      <c r="UDQ88" s="120"/>
      <c r="UDR88" s="120"/>
      <c r="UDS88" s="120"/>
      <c r="UDT88" s="120"/>
      <c r="UDU88" s="120"/>
      <c r="UDV88" s="120"/>
      <c r="UDW88" s="120"/>
      <c r="UDX88" s="120"/>
      <c r="UDY88" s="120"/>
      <c r="UDZ88" s="120"/>
      <c r="UEA88" s="120"/>
      <c r="UEB88" s="120"/>
      <c r="UEC88" s="120"/>
      <c r="UED88" s="120"/>
      <c r="UEE88" s="120"/>
      <c r="UEF88" s="120"/>
      <c r="UEG88" s="120"/>
      <c r="UEH88" s="120"/>
      <c r="UEI88" s="120"/>
      <c r="UEJ88" s="120"/>
      <c r="UEK88" s="120"/>
      <c r="UEL88" s="120"/>
      <c r="UEM88" s="120"/>
      <c r="UEN88" s="120"/>
      <c r="UEO88" s="120"/>
      <c r="UEP88" s="120"/>
      <c r="UEQ88" s="120"/>
      <c r="UER88" s="120"/>
      <c r="UES88" s="120"/>
      <c r="UET88" s="120"/>
      <c r="UEU88" s="120"/>
      <c r="UEV88" s="120"/>
      <c r="UEW88" s="120"/>
      <c r="UEX88" s="120"/>
      <c r="UEY88" s="120"/>
      <c r="UEZ88" s="120"/>
      <c r="UFA88" s="120"/>
      <c r="UFB88" s="120"/>
      <c r="UFC88" s="120"/>
      <c r="UFD88" s="120"/>
      <c r="UFE88" s="120"/>
      <c r="UFF88" s="120"/>
      <c r="UFG88" s="120"/>
      <c r="UFH88" s="120"/>
      <c r="UFI88" s="120"/>
      <c r="UFJ88" s="120"/>
      <c r="UFK88" s="120"/>
      <c r="UFL88" s="120"/>
      <c r="UFM88" s="120"/>
      <c r="UFN88" s="120"/>
      <c r="UFO88" s="120"/>
      <c r="UFP88" s="120"/>
      <c r="UFQ88" s="120"/>
      <c r="UFR88" s="120"/>
      <c r="UFS88" s="120"/>
      <c r="UFT88" s="120"/>
      <c r="UFU88" s="120"/>
      <c r="UFV88" s="120"/>
      <c r="UFW88" s="120"/>
      <c r="UFX88" s="120"/>
      <c r="UFY88" s="120"/>
      <c r="UFZ88" s="120"/>
      <c r="UGA88" s="120"/>
      <c r="UGB88" s="120"/>
      <c r="UGC88" s="120"/>
      <c r="UGD88" s="120"/>
      <c r="UGE88" s="120"/>
      <c r="UGF88" s="120"/>
      <c r="UGG88" s="120"/>
      <c r="UGH88" s="120"/>
      <c r="UGI88" s="120"/>
      <c r="UGJ88" s="120"/>
      <c r="UGK88" s="120"/>
      <c r="UGL88" s="120"/>
      <c r="UGM88" s="120"/>
      <c r="UGN88" s="120"/>
      <c r="UGO88" s="120"/>
      <c r="UGP88" s="120"/>
      <c r="UGQ88" s="120"/>
      <c r="UGR88" s="120"/>
      <c r="UGS88" s="120"/>
      <c r="UGT88" s="120"/>
      <c r="UGU88" s="120"/>
      <c r="UGV88" s="120"/>
      <c r="UGW88" s="120"/>
      <c r="UGX88" s="120"/>
      <c r="UGY88" s="120"/>
      <c r="UGZ88" s="120"/>
      <c r="UHA88" s="120"/>
      <c r="UHB88" s="120"/>
      <c r="UHC88" s="120"/>
      <c r="UHD88" s="120"/>
      <c r="UHE88" s="120"/>
      <c r="UHF88" s="120"/>
      <c r="UHG88" s="120"/>
      <c r="UHH88" s="120"/>
      <c r="UHI88" s="120"/>
      <c r="UHJ88" s="120"/>
      <c r="UHK88" s="120"/>
      <c r="UHL88" s="120"/>
      <c r="UHM88" s="120"/>
      <c r="UHN88" s="120"/>
      <c r="UHO88" s="120"/>
      <c r="UHP88" s="120"/>
      <c r="UHQ88" s="120"/>
      <c r="UHR88" s="120"/>
      <c r="UHS88" s="120"/>
      <c r="UHT88" s="120"/>
      <c r="UHU88" s="120"/>
      <c r="UHV88" s="120"/>
      <c r="UHW88" s="120"/>
      <c r="UHX88" s="120"/>
      <c r="UHY88" s="120"/>
      <c r="UHZ88" s="120"/>
      <c r="UIA88" s="120"/>
      <c r="UIB88" s="120"/>
      <c r="UIC88" s="120"/>
      <c r="UID88" s="120"/>
      <c r="UIE88" s="120"/>
      <c r="UIF88" s="120"/>
      <c r="UIG88" s="120"/>
      <c r="UIH88" s="120"/>
      <c r="UII88" s="120"/>
      <c r="UIJ88" s="120"/>
      <c r="UIK88" s="120"/>
      <c r="UIL88" s="120"/>
      <c r="UIM88" s="120"/>
      <c r="UIN88" s="120"/>
      <c r="UIO88" s="120"/>
      <c r="UIP88" s="120"/>
      <c r="UIQ88" s="120"/>
      <c r="UIR88" s="120"/>
      <c r="UIS88" s="120"/>
      <c r="UIT88" s="120"/>
      <c r="UIU88" s="120"/>
      <c r="UIV88" s="120"/>
      <c r="UIW88" s="120"/>
      <c r="UIX88" s="120"/>
      <c r="UIY88" s="120"/>
      <c r="UIZ88" s="120"/>
      <c r="UJA88" s="120"/>
      <c r="UJB88" s="120"/>
      <c r="UJC88" s="120"/>
      <c r="UJD88" s="120"/>
      <c r="UJE88" s="120"/>
      <c r="UJF88" s="120"/>
      <c r="UJG88" s="120"/>
      <c r="UJH88" s="120"/>
      <c r="UJI88" s="120"/>
      <c r="UJJ88" s="120"/>
      <c r="UJK88" s="120"/>
      <c r="UJL88" s="120"/>
      <c r="UJM88" s="120"/>
      <c r="UJN88" s="120"/>
      <c r="UJO88" s="120"/>
      <c r="UJP88" s="120"/>
      <c r="UJQ88" s="120"/>
      <c r="UJR88" s="120"/>
      <c r="UJS88" s="120"/>
      <c r="UJT88" s="120"/>
      <c r="UJU88" s="120"/>
      <c r="UJV88" s="120"/>
      <c r="UJW88" s="120"/>
      <c r="UJX88" s="120"/>
      <c r="UJY88" s="120"/>
      <c r="UJZ88" s="120"/>
      <c r="UKA88" s="120"/>
      <c r="UKB88" s="120"/>
      <c r="UKC88" s="120"/>
      <c r="UKD88" s="120"/>
      <c r="UKE88" s="120"/>
      <c r="UKF88" s="120"/>
      <c r="UKG88" s="120"/>
      <c r="UKH88" s="120"/>
      <c r="UKI88" s="120"/>
      <c r="UKJ88" s="120"/>
      <c r="UKK88" s="120"/>
      <c r="UKL88" s="120"/>
      <c r="UKM88" s="120"/>
      <c r="UKN88" s="120"/>
      <c r="UKO88" s="120"/>
      <c r="UKP88" s="120"/>
      <c r="UKQ88" s="120"/>
      <c r="UKR88" s="120"/>
      <c r="UKS88" s="120"/>
      <c r="UKT88" s="120"/>
      <c r="UKU88" s="120"/>
      <c r="UKV88" s="120"/>
      <c r="UKW88" s="120"/>
      <c r="UKX88" s="120"/>
      <c r="UKY88" s="120"/>
      <c r="UKZ88" s="120"/>
      <c r="ULA88" s="120"/>
      <c r="ULB88" s="120"/>
      <c r="ULC88" s="120"/>
      <c r="ULD88" s="120"/>
      <c r="ULE88" s="120"/>
      <c r="ULF88" s="120"/>
      <c r="ULG88" s="120"/>
      <c r="ULH88" s="120"/>
      <c r="ULI88" s="120"/>
      <c r="ULJ88" s="120"/>
      <c r="ULK88" s="120"/>
      <c r="ULL88" s="120"/>
      <c r="ULM88" s="120"/>
      <c r="ULN88" s="120"/>
      <c r="ULO88" s="120"/>
      <c r="ULP88" s="120"/>
      <c r="ULQ88" s="120"/>
      <c r="ULR88" s="120"/>
      <c r="ULS88" s="120"/>
      <c r="ULT88" s="120"/>
      <c r="ULU88" s="120"/>
      <c r="ULV88" s="120"/>
      <c r="ULW88" s="120"/>
      <c r="ULX88" s="120"/>
      <c r="ULY88" s="120"/>
      <c r="ULZ88" s="120"/>
      <c r="UMA88" s="120"/>
      <c r="UMB88" s="120"/>
      <c r="UMC88" s="120"/>
      <c r="UMD88" s="120"/>
      <c r="UME88" s="120"/>
      <c r="UMF88" s="120"/>
      <c r="UMG88" s="120"/>
      <c r="UMH88" s="120"/>
      <c r="UMI88" s="120"/>
      <c r="UMJ88" s="120"/>
      <c r="UMK88" s="120"/>
      <c r="UML88" s="120"/>
      <c r="UMM88" s="120"/>
      <c r="UMN88" s="120"/>
      <c r="UMO88" s="120"/>
      <c r="UMP88" s="120"/>
      <c r="UMQ88" s="120"/>
      <c r="UMR88" s="120"/>
      <c r="UMS88" s="120"/>
      <c r="UMT88" s="120"/>
      <c r="UMU88" s="120"/>
      <c r="UMV88" s="120"/>
      <c r="UMW88" s="120"/>
      <c r="UMX88" s="120"/>
      <c r="UMY88" s="120"/>
      <c r="UMZ88" s="120"/>
      <c r="UNA88" s="120"/>
      <c r="UNB88" s="120"/>
      <c r="UNC88" s="120"/>
      <c r="UND88" s="120"/>
      <c r="UNE88" s="120"/>
      <c r="UNF88" s="120"/>
      <c r="UNG88" s="120"/>
      <c r="UNH88" s="120"/>
      <c r="UNI88" s="120"/>
      <c r="UNJ88" s="120"/>
      <c r="UNK88" s="120"/>
      <c r="UNL88" s="120"/>
      <c r="UNM88" s="120"/>
      <c r="UNN88" s="120"/>
      <c r="UNO88" s="120"/>
      <c r="UNP88" s="120"/>
      <c r="UNQ88" s="120"/>
      <c r="UNR88" s="120"/>
      <c r="UNS88" s="120"/>
      <c r="UNT88" s="120"/>
      <c r="UNU88" s="120"/>
      <c r="UNV88" s="120"/>
      <c r="UNW88" s="120"/>
      <c r="UNX88" s="120"/>
      <c r="UNY88" s="120"/>
      <c r="UNZ88" s="120"/>
      <c r="UOA88" s="120"/>
      <c r="UOB88" s="120"/>
      <c r="UOC88" s="120"/>
      <c r="UOD88" s="120"/>
      <c r="UOE88" s="120"/>
      <c r="UOF88" s="120"/>
      <c r="UOG88" s="120"/>
      <c r="UOH88" s="120"/>
      <c r="UOI88" s="120"/>
      <c r="UOJ88" s="120"/>
      <c r="UOK88" s="120"/>
      <c r="UOL88" s="120"/>
      <c r="UOM88" s="120"/>
      <c r="UON88" s="120"/>
      <c r="UOO88" s="120"/>
      <c r="UOP88" s="120"/>
      <c r="UOQ88" s="120"/>
      <c r="UOR88" s="120"/>
      <c r="UOS88" s="120"/>
      <c r="UOT88" s="120"/>
      <c r="UOU88" s="120"/>
      <c r="UOV88" s="120"/>
      <c r="UOW88" s="120"/>
      <c r="UOX88" s="120"/>
      <c r="UOY88" s="120"/>
      <c r="UOZ88" s="120"/>
      <c r="UPA88" s="120"/>
      <c r="UPB88" s="120"/>
      <c r="UPC88" s="120"/>
      <c r="UPD88" s="120"/>
      <c r="UPE88" s="120"/>
      <c r="UPF88" s="120"/>
      <c r="UPG88" s="120"/>
      <c r="UPH88" s="120"/>
      <c r="UPI88" s="120"/>
      <c r="UPJ88" s="120"/>
      <c r="UPK88" s="120"/>
      <c r="UPL88" s="120"/>
      <c r="UPM88" s="120"/>
      <c r="UPN88" s="120"/>
      <c r="UPO88" s="120"/>
      <c r="UPP88" s="120"/>
      <c r="UPQ88" s="120"/>
      <c r="UPR88" s="120"/>
      <c r="UPS88" s="120"/>
      <c r="UPT88" s="120"/>
      <c r="UPU88" s="120"/>
      <c r="UPV88" s="120"/>
      <c r="UPW88" s="120"/>
      <c r="UPX88" s="120"/>
      <c r="UPY88" s="120"/>
      <c r="UPZ88" s="120"/>
      <c r="UQA88" s="120"/>
      <c r="UQB88" s="120"/>
      <c r="UQC88" s="120"/>
      <c r="UQD88" s="120"/>
      <c r="UQE88" s="120"/>
      <c r="UQF88" s="120"/>
      <c r="UQG88" s="120"/>
      <c r="UQH88" s="120"/>
      <c r="UQI88" s="120"/>
      <c r="UQJ88" s="120"/>
      <c r="UQK88" s="120"/>
      <c r="UQL88" s="120"/>
      <c r="UQM88" s="120"/>
      <c r="UQN88" s="120"/>
      <c r="UQO88" s="120"/>
      <c r="UQP88" s="120"/>
      <c r="UQQ88" s="120"/>
      <c r="UQR88" s="120"/>
      <c r="UQS88" s="120"/>
      <c r="UQT88" s="120"/>
      <c r="UQU88" s="120"/>
      <c r="UQV88" s="120"/>
      <c r="UQW88" s="120"/>
      <c r="UQX88" s="120"/>
      <c r="UQY88" s="120"/>
      <c r="UQZ88" s="120"/>
      <c r="URA88" s="120"/>
      <c r="URB88" s="120"/>
      <c r="URC88" s="120"/>
      <c r="URD88" s="120"/>
      <c r="URE88" s="120"/>
      <c r="URF88" s="120"/>
      <c r="URG88" s="120"/>
      <c r="URH88" s="120"/>
      <c r="URI88" s="120"/>
      <c r="URJ88" s="120"/>
      <c r="URK88" s="120"/>
      <c r="URL88" s="120"/>
      <c r="URM88" s="120"/>
      <c r="URN88" s="120"/>
      <c r="URO88" s="120"/>
      <c r="URP88" s="120"/>
      <c r="URQ88" s="120"/>
      <c r="URR88" s="120"/>
      <c r="URS88" s="120"/>
      <c r="URT88" s="120"/>
      <c r="URU88" s="120"/>
      <c r="URV88" s="120"/>
      <c r="URW88" s="120"/>
      <c r="URX88" s="120"/>
      <c r="URY88" s="120"/>
      <c r="URZ88" s="120"/>
      <c r="USA88" s="120"/>
      <c r="USB88" s="120"/>
      <c r="USC88" s="120"/>
      <c r="USD88" s="120"/>
      <c r="USE88" s="120"/>
      <c r="USF88" s="120"/>
      <c r="USG88" s="120"/>
      <c r="USH88" s="120"/>
      <c r="USI88" s="120"/>
      <c r="USJ88" s="120"/>
      <c r="USK88" s="120"/>
      <c r="USL88" s="120"/>
      <c r="USM88" s="120"/>
      <c r="USN88" s="120"/>
      <c r="USO88" s="120"/>
      <c r="USP88" s="120"/>
      <c r="USQ88" s="120"/>
      <c r="USR88" s="120"/>
      <c r="USS88" s="120"/>
      <c r="UST88" s="120"/>
      <c r="USU88" s="120"/>
      <c r="USV88" s="120"/>
      <c r="USW88" s="120"/>
      <c r="USX88" s="120"/>
      <c r="USY88" s="120"/>
      <c r="USZ88" s="120"/>
      <c r="UTA88" s="120"/>
      <c r="UTB88" s="120"/>
      <c r="UTC88" s="120"/>
      <c r="UTD88" s="120"/>
      <c r="UTE88" s="120"/>
      <c r="UTF88" s="120"/>
      <c r="UTG88" s="120"/>
      <c r="UTH88" s="120"/>
      <c r="UTI88" s="120"/>
      <c r="UTJ88" s="120"/>
      <c r="UTK88" s="120"/>
      <c r="UTL88" s="120"/>
      <c r="UTM88" s="120"/>
      <c r="UTN88" s="120"/>
      <c r="UTO88" s="120"/>
      <c r="UTP88" s="120"/>
      <c r="UTQ88" s="120"/>
      <c r="UTR88" s="120"/>
      <c r="UTS88" s="120"/>
      <c r="UTT88" s="120"/>
      <c r="UTU88" s="120"/>
      <c r="UTV88" s="120"/>
      <c r="UTW88" s="120"/>
      <c r="UTX88" s="120"/>
      <c r="UTY88" s="120"/>
      <c r="UTZ88" s="120"/>
      <c r="UUA88" s="120"/>
      <c r="UUB88" s="120"/>
      <c r="UUC88" s="120"/>
      <c r="UUD88" s="120"/>
      <c r="UUE88" s="120"/>
      <c r="UUF88" s="120"/>
      <c r="UUG88" s="120"/>
      <c r="UUH88" s="120"/>
      <c r="UUI88" s="120"/>
      <c r="UUJ88" s="120"/>
      <c r="UUK88" s="120"/>
      <c r="UUL88" s="120"/>
      <c r="UUM88" s="120"/>
      <c r="UUN88" s="120"/>
      <c r="UUO88" s="120"/>
      <c r="UUP88" s="120"/>
      <c r="UUQ88" s="120"/>
      <c r="UUR88" s="120"/>
      <c r="UUS88" s="120"/>
      <c r="UUT88" s="120"/>
      <c r="UUU88" s="120"/>
      <c r="UUV88" s="120"/>
      <c r="UUW88" s="120"/>
      <c r="UUX88" s="120"/>
      <c r="UUY88" s="120"/>
      <c r="UUZ88" s="120"/>
      <c r="UVA88" s="120"/>
      <c r="UVB88" s="120"/>
      <c r="UVC88" s="120"/>
      <c r="UVD88" s="120"/>
      <c r="UVE88" s="120"/>
      <c r="UVF88" s="120"/>
      <c r="UVG88" s="120"/>
      <c r="UVH88" s="120"/>
      <c r="UVI88" s="120"/>
      <c r="UVJ88" s="120"/>
      <c r="UVK88" s="120"/>
      <c r="UVL88" s="120"/>
      <c r="UVM88" s="120"/>
      <c r="UVN88" s="120"/>
      <c r="UVO88" s="120"/>
      <c r="UVP88" s="120"/>
      <c r="UVQ88" s="120"/>
      <c r="UVR88" s="120"/>
      <c r="UVS88" s="120"/>
      <c r="UVT88" s="120"/>
      <c r="UVU88" s="120"/>
      <c r="UVV88" s="120"/>
      <c r="UVW88" s="120"/>
      <c r="UVX88" s="120"/>
      <c r="UVY88" s="120"/>
      <c r="UVZ88" s="120"/>
      <c r="UWA88" s="120"/>
      <c r="UWB88" s="120"/>
      <c r="UWC88" s="120"/>
      <c r="UWD88" s="120"/>
      <c r="UWE88" s="120"/>
      <c r="UWF88" s="120"/>
      <c r="UWG88" s="120"/>
      <c r="UWH88" s="120"/>
      <c r="UWI88" s="120"/>
      <c r="UWJ88" s="120"/>
      <c r="UWK88" s="120"/>
      <c r="UWL88" s="120"/>
      <c r="UWM88" s="120"/>
      <c r="UWN88" s="120"/>
      <c r="UWO88" s="120"/>
      <c r="UWP88" s="120"/>
      <c r="UWQ88" s="120"/>
      <c r="UWR88" s="120"/>
      <c r="UWS88" s="120"/>
      <c r="UWT88" s="120"/>
      <c r="UWU88" s="120"/>
      <c r="UWV88" s="120"/>
      <c r="UWW88" s="120"/>
      <c r="UWX88" s="120"/>
      <c r="UWY88" s="120"/>
      <c r="UWZ88" s="120"/>
      <c r="UXA88" s="120"/>
      <c r="UXB88" s="120"/>
      <c r="UXC88" s="120"/>
      <c r="UXD88" s="120"/>
      <c r="UXE88" s="120"/>
      <c r="UXF88" s="120"/>
      <c r="UXG88" s="120"/>
      <c r="UXH88" s="120"/>
      <c r="UXI88" s="120"/>
      <c r="UXJ88" s="120"/>
      <c r="UXK88" s="120"/>
      <c r="UXL88" s="120"/>
      <c r="UXM88" s="120"/>
      <c r="UXN88" s="120"/>
      <c r="UXO88" s="120"/>
      <c r="UXP88" s="120"/>
      <c r="UXQ88" s="120"/>
      <c r="UXR88" s="120"/>
      <c r="UXS88" s="120"/>
      <c r="UXT88" s="120"/>
      <c r="UXU88" s="120"/>
      <c r="UXV88" s="120"/>
      <c r="UXW88" s="120"/>
      <c r="UXX88" s="120"/>
      <c r="UXY88" s="120"/>
      <c r="UXZ88" s="120"/>
      <c r="UYA88" s="120"/>
      <c r="UYB88" s="120"/>
      <c r="UYC88" s="120"/>
      <c r="UYD88" s="120"/>
      <c r="UYE88" s="120"/>
      <c r="UYF88" s="120"/>
      <c r="UYG88" s="120"/>
      <c r="UYH88" s="120"/>
      <c r="UYI88" s="120"/>
      <c r="UYJ88" s="120"/>
      <c r="UYK88" s="120"/>
      <c r="UYL88" s="120"/>
      <c r="UYM88" s="120"/>
      <c r="UYN88" s="120"/>
      <c r="UYO88" s="120"/>
      <c r="UYP88" s="120"/>
      <c r="UYQ88" s="120"/>
      <c r="UYR88" s="120"/>
      <c r="UYS88" s="120"/>
      <c r="UYT88" s="120"/>
      <c r="UYU88" s="120"/>
      <c r="UYV88" s="120"/>
      <c r="UYW88" s="120"/>
      <c r="UYX88" s="120"/>
      <c r="UYY88" s="120"/>
      <c r="UYZ88" s="120"/>
      <c r="UZA88" s="120"/>
      <c r="UZB88" s="120"/>
      <c r="UZC88" s="120"/>
      <c r="UZD88" s="120"/>
      <c r="UZE88" s="120"/>
      <c r="UZF88" s="120"/>
      <c r="UZG88" s="120"/>
      <c r="UZH88" s="120"/>
      <c r="UZI88" s="120"/>
      <c r="UZJ88" s="120"/>
      <c r="UZK88" s="120"/>
      <c r="UZL88" s="120"/>
      <c r="UZM88" s="120"/>
      <c r="UZN88" s="120"/>
      <c r="UZO88" s="120"/>
      <c r="UZP88" s="120"/>
      <c r="UZQ88" s="120"/>
      <c r="UZR88" s="120"/>
      <c r="UZS88" s="120"/>
      <c r="UZT88" s="120"/>
      <c r="UZU88" s="120"/>
      <c r="UZV88" s="120"/>
      <c r="UZW88" s="120"/>
      <c r="UZX88" s="120"/>
      <c r="UZY88" s="120"/>
      <c r="UZZ88" s="120"/>
      <c r="VAA88" s="120"/>
      <c r="VAB88" s="120"/>
      <c r="VAC88" s="120"/>
      <c r="VAD88" s="120"/>
      <c r="VAE88" s="120"/>
      <c r="VAF88" s="120"/>
      <c r="VAG88" s="120"/>
      <c r="VAH88" s="120"/>
      <c r="VAI88" s="120"/>
      <c r="VAJ88" s="120"/>
      <c r="VAK88" s="120"/>
      <c r="VAL88" s="120"/>
      <c r="VAM88" s="120"/>
      <c r="VAN88" s="120"/>
      <c r="VAO88" s="120"/>
      <c r="VAP88" s="120"/>
      <c r="VAQ88" s="120"/>
      <c r="VAR88" s="120"/>
      <c r="VAS88" s="120"/>
      <c r="VAT88" s="120"/>
      <c r="VAU88" s="120"/>
      <c r="VAV88" s="120"/>
      <c r="VAW88" s="120"/>
      <c r="VAX88" s="120"/>
      <c r="VAY88" s="120"/>
      <c r="VAZ88" s="120"/>
      <c r="VBA88" s="120"/>
      <c r="VBB88" s="120"/>
      <c r="VBC88" s="120"/>
      <c r="VBD88" s="120"/>
      <c r="VBE88" s="120"/>
      <c r="VBF88" s="120"/>
      <c r="VBG88" s="120"/>
      <c r="VBH88" s="120"/>
      <c r="VBI88" s="120"/>
      <c r="VBJ88" s="120"/>
      <c r="VBK88" s="120"/>
      <c r="VBL88" s="120"/>
      <c r="VBM88" s="120"/>
      <c r="VBN88" s="120"/>
      <c r="VBO88" s="120"/>
      <c r="VBP88" s="120"/>
      <c r="VBQ88" s="120"/>
      <c r="VBR88" s="120"/>
      <c r="VBS88" s="120"/>
      <c r="VBT88" s="120"/>
      <c r="VBU88" s="120"/>
      <c r="VBV88" s="120"/>
      <c r="VBW88" s="120"/>
      <c r="VBX88" s="120"/>
      <c r="VBY88" s="120"/>
      <c r="VBZ88" s="120"/>
      <c r="VCA88" s="120"/>
      <c r="VCB88" s="120"/>
      <c r="VCC88" s="120"/>
      <c r="VCD88" s="120"/>
      <c r="VCE88" s="120"/>
      <c r="VCF88" s="120"/>
      <c r="VCG88" s="120"/>
      <c r="VCH88" s="120"/>
      <c r="VCI88" s="120"/>
      <c r="VCJ88" s="120"/>
      <c r="VCK88" s="120"/>
      <c r="VCL88" s="120"/>
      <c r="VCM88" s="120"/>
      <c r="VCN88" s="120"/>
      <c r="VCO88" s="120"/>
      <c r="VCP88" s="120"/>
      <c r="VCQ88" s="120"/>
      <c r="VCR88" s="120"/>
      <c r="VCS88" s="120"/>
      <c r="VCT88" s="120"/>
      <c r="VCU88" s="120"/>
      <c r="VCV88" s="120"/>
      <c r="VCW88" s="120"/>
      <c r="VCX88" s="120"/>
      <c r="VCY88" s="120"/>
      <c r="VCZ88" s="120"/>
      <c r="VDA88" s="120"/>
      <c r="VDB88" s="120"/>
      <c r="VDC88" s="120"/>
      <c r="VDD88" s="120"/>
      <c r="VDE88" s="120"/>
      <c r="VDF88" s="120"/>
      <c r="VDG88" s="120"/>
      <c r="VDH88" s="120"/>
      <c r="VDI88" s="120"/>
      <c r="VDJ88" s="120"/>
      <c r="VDK88" s="120"/>
      <c r="VDL88" s="120"/>
      <c r="VDM88" s="120"/>
      <c r="VDN88" s="120"/>
      <c r="VDO88" s="120"/>
      <c r="VDP88" s="120"/>
      <c r="VDQ88" s="120"/>
      <c r="VDR88" s="120"/>
      <c r="VDS88" s="120"/>
      <c r="VDT88" s="120"/>
      <c r="VDU88" s="120"/>
      <c r="VDV88" s="120"/>
      <c r="VDW88" s="120"/>
      <c r="VDX88" s="120"/>
      <c r="VDY88" s="120"/>
      <c r="VDZ88" s="120"/>
      <c r="VEA88" s="120"/>
      <c r="VEB88" s="120"/>
      <c r="VEC88" s="120"/>
      <c r="VED88" s="120"/>
      <c r="VEE88" s="120"/>
      <c r="VEF88" s="120"/>
      <c r="VEG88" s="120"/>
      <c r="VEH88" s="120"/>
      <c r="VEI88" s="120"/>
      <c r="VEJ88" s="120"/>
      <c r="VEK88" s="120"/>
      <c r="VEL88" s="120"/>
      <c r="VEM88" s="120"/>
      <c r="VEN88" s="120"/>
      <c r="VEO88" s="120"/>
      <c r="VEP88" s="120"/>
      <c r="VEQ88" s="120"/>
      <c r="VER88" s="120"/>
      <c r="VES88" s="120"/>
      <c r="VET88" s="120"/>
      <c r="VEU88" s="120"/>
      <c r="VEV88" s="120"/>
      <c r="VEW88" s="120"/>
      <c r="VEX88" s="120"/>
      <c r="VEY88" s="120"/>
      <c r="VEZ88" s="120"/>
      <c r="VFA88" s="120"/>
      <c r="VFB88" s="120"/>
      <c r="VFC88" s="120"/>
      <c r="VFD88" s="120"/>
      <c r="VFE88" s="120"/>
      <c r="VFF88" s="120"/>
      <c r="VFG88" s="120"/>
      <c r="VFH88" s="120"/>
      <c r="VFI88" s="120"/>
      <c r="VFJ88" s="120"/>
      <c r="VFK88" s="120"/>
      <c r="VFL88" s="120"/>
      <c r="VFM88" s="120"/>
      <c r="VFN88" s="120"/>
      <c r="VFO88" s="120"/>
      <c r="VFP88" s="120"/>
      <c r="VFQ88" s="120"/>
      <c r="VFR88" s="120"/>
      <c r="VFS88" s="120"/>
      <c r="VFT88" s="120"/>
      <c r="VFU88" s="120"/>
      <c r="VFV88" s="120"/>
      <c r="VFW88" s="120"/>
      <c r="VFX88" s="120"/>
      <c r="VFY88" s="120"/>
      <c r="VFZ88" s="120"/>
      <c r="VGA88" s="120"/>
      <c r="VGB88" s="120"/>
      <c r="VGC88" s="120"/>
      <c r="VGD88" s="120"/>
      <c r="VGE88" s="120"/>
      <c r="VGF88" s="120"/>
      <c r="VGG88" s="120"/>
      <c r="VGH88" s="120"/>
      <c r="VGI88" s="120"/>
      <c r="VGJ88" s="120"/>
      <c r="VGK88" s="120"/>
      <c r="VGL88" s="120"/>
      <c r="VGM88" s="120"/>
      <c r="VGN88" s="120"/>
      <c r="VGO88" s="120"/>
      <c r="VGP88" s="120"/>
      <c r="VGQ88" s="120"/>
      <c r="VGR88" s="120"/>
      <c r="VGS88" s="120"/>
      <c r="VGT88" s="120"/>
      <c r="VGU88" s="120"/>
      <c r="VGV88" s="120"/>
      <c r="VGW88" s="120"/>
      <c r="VGX88" s="120"/>
      <c r="VGY88" s="120"/>
      <c r="VGZ88" s="120"/>
      <c r="VHA88" s="120"/>
      <c r="VHB88" s="120"/>
      <c r="VHC88" s="120"/>
      <c r="VHD88" s="120"/>
      <c r="VHE88" s="120"/>
      <c r="VHF88" s="120"/>
      <c r="VHG88" s="120"/>
      <c r="VHH88" s="120"/>
      <c r="VHI88" s="120"/>
      <c r="VHJ88" s="120"/>
      <c r="VHK88" s="120"/>
      <c r="VHL88" s="120"/>
      <c r="VHM88" s="120"/>
      <c r="VHN88" s="120"/>
      <c r="VHO88" s="120"/>
      <c r="VHP88" s="120"/>
      <c r="VHQ88" s="120"/>
      <c r="VHR88" s="120"/>
      <c r="VHS88" s="120"/>
      <c r="VHT88" s="120"/>
      <c r="VHU88" s="120"/>
      <c r="VHV88" s="120"/>
      <c r="VHW88" s="120"/>
      <c r="VHX88" s="120"/>
      <c r="VHY88" s="120"/>
      <c r="VHZ88" s="120"/>
      <c r="VIA88" s="120"/>
      <c r="VIB88" s="120"/>
      <c r="VIC88" s="120"/>
      <c r="VID88" s="120"/>
      <c r="VIE88" s="120"/>
      <c r="VIF88" s="120"/>
      <c r="VIG88" s="120"/>
      <c r="VIH88" s="120"/>
      <c r="VII88" s="120"/>
      <c r="VIJ88" s="120"/>
      <c r="VIK88" s="120"/>
      <c r="VIL88" s="120"/>
      <c r="VIM88" s="120"/>
      <c r="VIN88" s="120"/>
      <c r="VIO88" s="120"/>
      <c r="VIP88" s="120"/>
      <c r="VIQ88" s="120"/>
      <c r="VIR88" s="120"/>
      <c r="VIS88" s="120"/>
      <c r="VIT88" s="120"/>
      <c r="VIU88" s="120"/>
      <c r="VIV88" s="120"/>
      <c r="VIW88" s="120"/>
      <c r="VIX88" s="120"/>
      <c r="VIY88" s="120"/>
      <c r="VIZ88" s="120"/>
      <c r="VJA88" s="120"/>
      <c r="VJB88" s="120"/>
      <c r="VJC88" s="120"/>
      <c r="VJD88" s="120"/>
      <c r="VJE88" s="120"/>
      <c r="VJF88" s="120"/>
      <c r="VJG88" s="120"/>
      <c r="VJH88" s="120"/>
      <c r="VJI88" s="120"/>
      <c r="VJJ88" s="120"/>
      <c r="VJK88" s="120"/>
      <c r="VJL88" s="120"/>
      <c r="VJM88" s="120"/>
      <c r="VJN88" s="120"/>
      <c r="VJO88" s="120"/>
      <c r="VJP88" s="120"/>
      <c r="VJQ88" s="120"/>
      <c r="VJR88" s="120"/>
      <c r="VJS88" s="120"/>
      <c r="VJT88" s="120"/>
      <c r="VJU88" s="120"/>
      <c r="VJV88" s="120"/>
      <c r="VJW88" s="120"/>
      <c r="VJX88" s="120"/>
      <c r="VJY88" s="120"/>
      <c r="VJZ88" s="120"/>
      <c r="VKA88" s="120"/>
      <c r="VKB88" s="120"/>
      <c r="VKC88" s="120"/>
      <c r="VKD88" s="120"/>
      <c r="VKE88" s="120"/>
      <c r="VKF88" s="120"/>
      <c r="VKG88" s="120"/>
      <c r="VKH88" s="120"/>
      <c r="VKI88" s="120"/>
      <c r="VKJ88" s="120"/>
      <c r="VKK88" s="120"/>
      <c r="VKL88" s="120"/>
      <c r="VKM88" s="120"/>
      <c r="VKN88" s="120"/>
      <c r="VKO88" s="120"/>
      <c r="VKP88" s="120"/>
      <c r="VKQ88" s="120"/>
      <c r="VKR88" s="120"/>
      <c r="VKS88" s="120"/>
      <c r="VKT88" s="120"/>
      <c r="VKU88" s="120"/>
      <c r="VKV88" s="120"/>
      <c r="VKW88" s="120"/>
      <c r="VKX88" s="120"/>
      <c r="VKY88" s="120"/>
      <c r="VKZ88" s="120"/>
      <c r="VLA88" s="120"/>
      <c r="VLB88" s="120"/>
      <c r="VLC88" s="120"/>
      <c r="VLD88" s="120"/>
      <c r="VLE88" s="120"/>
      <c r="VLF88" s="120"/>
      <c r="VLG88" s="120"/>
      <c r="VLH88" s="120"/>
      <c r="VLI88" s="120"/>
      <c r="VLJ88" s="120"/>
      <c r="VLK88" s="120"/>
      <c r="VLL88" s="120"/>
      <c r="VLM88" s="120"/>
      <c r="VLN88" s="120"/>
      <c r="VLO88" s="120"/>
      <c r="VLP88" s="120"/>
      <c r="VLQ88" s="120"/>
      <c r="VLR88" s="120"/>
      <c r="VLS88" s="120"/>
      <c r="VLT88" s="120"/>
      <c r="VLU88" s="120"/>
      <c r="VLV88" s="120"/>
      <c r="VLW88" s="120"/>
      <c r="VLX88" s="120"/>
      <c r="VLY88" s="120"/>
      <c r="VLZ88" s="120"/>
      <c r="VMA88" s="120"/>
      <c r="VMB88" s="120"/>
      <c r="VMC88" s="120"/>
      <c r="VMD88" s="120"/>
      <c r="VME88" s="120"/>
      <c r="VMF88" s="120"/>
      <c r="VMG88" s="120"/>
      <c r="VMH88" s="120"/>
      <c r="VMI88" s="120"/>
      <c r="VMJ88" s="120"/>
      <c r="VMK88" s="120"/>
      <c r="VML88" s="120"/>
      <c r="VMM88" s="120"/>
      <c r="VMN88" s="120"/>
      <c r="VMO88" s="120"/>
      <c r="VMP88" s="120"/>
      <c r="VMQ88" s="120"/>
      <c r="VMR88" s="120"/>
      <c r="VMS88" s="120"/>
      <c r="VMT88" s="120"/>
      <c r="VMU88" s="120"/>
      <c r="VMV88" s="120"/>
      <c r="VMW88" s="120"/>
      <c r="VMX88" s="120"/>
      <c r="VMY88" s="120"/>
      <c r="VMZ88" s="120"/>
      <c r="VNA88" s="120"/>
      <c r="VNB88" s="120"/>
      <c r="VNC88" s="120"/>
      <c r="VND88" s="120"/>
      <c r="VNE88" s="120"/>
      <c r="VNF88" s="120"/>
      <c r="VNG88" s="120"/>
      <c r="VNH88" s="120"/>
      <c r="VNI88" s="120"/>
      <c r="VNJ88" s="120"/>
      <c r="VNK88" s="120"/>
      <c r="VNL88" s="120"/>
      <c r="VNM88" s="120"/>
      <c r="VNN88" s="120"/>
      <c r="VNO88" s="120"/>
      <c r="VNP88" s="120"/>
      <c r="VNQ88" s="120"/>
      <c r="VNR88" s="120"/>
      <c r="VNS88" s="120"/>
      <c r="VNT88" s="120"/>
      <c r="VNU88" s="120"/>
      <c r="VNV88" s="120"/>
      <c r="VNW88" s="120"/>
      <c r="VNX88" s="120"/>
      <c r="VNY88" s="120"/>
      <c r="VNZ88" s="120"/>
      <c r="VOA88" s="120"/>
      <c r="VOB88" s="120"/>
      <c r="VOC88" s="120"/>
      <c r="VOD88" s="120"/>
      <c r="VOE88" s="120"/>
      <c r="VOF88" s="120"/>
      <c r="VOG88" s="120"/>
      <c r="VOH88" s="120"/>
      <c r="VOI88" s="120"/>
      <c r="VOJ88" s="120"/>
      <c r="VOK88" s="120"/>
      <c r="VOL88" s="120"/>
      <c r="VOM88" s="120"/>
      <c r="VON88" s="120"/>
      <c r="VOO88" s="120"/>
      <c r="VOP88" s="120"/>
      <c r="VOQ88" s="120"/>
      <c r="VOR88" s="120"/>
      <c r="VOS88" s="120"/>
      <c r="VOT88" s="120"/>
      <c r="VOU88" s="120"/>
      <c r="VOV88" s="120"/>
      <c r="VOW88" s="120"/>
      <c r="VOX88" s="120"/>
      <c r="VOY88" s="120"/>
      <c r="VOZ88" s="120"/>
      <c r="VPA88" s="120"/>
      <c r="VPB88" s="120"/>
      <c r="VPC88" s="120"/>
      <c r="VPD88" s="120"/>
      <c r="VPE88" s="120"/>
      <c r="VPF88" s="120"/>
      <c r="VPG88" s="120"/>
      <c r="VPH88" s="120"/>
      <c r="VPI88" s="120"/>
      <c r="VPJ88" s="120"/>
      <c r="VPK88" s="120"/>
      <c r="VPL88" s="120"/>
      <c r="VPM88" s="120"/>
      <c r="VPN88" s="120"/>
      <c r="VPO88" s="120"/>
      <c r="VPP88" s="120"/>
      <c r="VPQ88" s="120"/>
      <c r="VPR88" s="120"/>
      <c r="VPS88" s="120"/>
      <c r="VPT88" s="120"/>
      <c r="VPU88" s="120"/>
      <c r="VPV88" s="120"/>
      <c r="VPW88" s="120"/>
      <c r="VPX88" s="120"/>
      <c r="VPY88" s="120"/>
      <c r="VPZ88" s="120"/>
      <c r="VQA88" s="120"/>
      <c r="VQB88" s="120"/>
      <c r="VQC88" s="120"/>
      <c r="VQD88" s="120"/>
      <c r="VQE88" s="120"/>
      <c r="VQF88" s="120"/>
      <c r="VQG88" s="120"/>
      <c r="VQH88" s="120"/>
      <c r="VQI88" s="120"/>
      <c r="VQJ88" s="120"/>
      <c r="VQK88" s="120"/>
      <c r="VQL88" s="120"/>
      <c r="VQM88" s="120"/>
      <c r="VQN88" s="120"/>
      <c r="VQO88" s="120"/>
      <c r="VQP88" s="120"/>
      <c r="VQQ88" s="120"/>
      <c r="VQR88" s="120"/>
      <c r="VQS88" s="120"/>
      <c r="VQT88" s="120"/>
      <c r="VQU88" s="120"/>
      <c r="VQV88" s="120"/>
      <c r="VQW88" s="120"/>
      <c r="VQX88" s="120"/>
      <c r="VQY88" s="120"/>
      <c r="VQZ88" s="120"/>
      <c r="VRA88" s="120"/>
      <c r="VRB88" s="120"/>
      <c r="VRC88" s="120"/>
      <c r="VRD88" s="120"/>
      <c r="VRE88" s="120"/>
      <c r="VRF88" s="120"/>
      <c r="VRG88" s="120"/>
      <c r="VRH88" s="120"/>
      <c r="VRI88" s="120"/>
      <c r="VRJ88" s="120"/>
      <c r="VRK88" s="120"/>
      <c r="VRL88" s="120"/>
      <c r="VRM88" s="120"/>
      <c r="VRN88" s="120"/>
      <c r="VRO88" s="120"/>
      <c r="VRP88" s="120"/>
      <c r="VRQ88" s="120"/>
      <c r="VRR88" s="120"/>
      <c r="VRS88" s="120"/>
      <c r="VRT88" s="120"/>
      <c r="VRU88" s="120"/>
      <c r="VRV88" s="120"/>
      <c r="VRW88" s="120"/>
      <c r="VRX88" s="120"/>
      <c r="VRY88" s="120"/>
      <c r="VRZ88" s="120"/>
      <c r="VSA88" s="120"/>
      <c r="VSB88" s="120"/>
      <c r="VSC88" s="120"/>
      <c r="VSD88" s="120"/>
      <c r="VSE88" s="120"/>
      <c r="VSF88" s="120"/>
      <c r="VSG88" s="120"/>
      <c r="VSH88" s="120"/>
      <c r="VSI88" s="120"/>
      <c r="VSJ88" s="120"/>
      <c r="VSK88" s="120"/>
      <c r="VSL88" s="120"/>
      <c r="VSM88" s="120"/>
      <c r="VSN88" s="120"/>
      <c r="VSO88" s="120"/>
      <c r="VSP88" s="120"/>
      <c r="VSQ88" s="120"/>
      <c r="VSR88" s="120"/>
      <c r="VSS88" s="120"/>
      <c r="VST88" s="120"/>
      <c r="VSU88" s="120"/>
      <c r="VSV88" s="120"/>
      <c r="VSW88" s="120"/>
      <c r="VSX88" s="120"/>
      <c r="VSY88" s="120"/>
      <c r="VSZ88" s="120"/>
      <c r="VTA88" s="120"/>
      <c r="VTB88" s="120"/>
      <c r="VTC88" s="120"/>
      <c r="VTD88" s="120"/>
      <c r="VTE88" s="120"/>
      <c r="VTF88" s="120"/>
      <c r="VTG88" s="120"/>
      <c r="VTH88" s="120"/>
      <c r="VTI88" s="120"/>
      <c r="VTJ88" s="120"/>
      <c r="VTK88" s="120"/>
      <c r="VTL88" s="120"/>
      <c r="VTM88" s="120"/>
      <c r="VTN88" s="120"/>
      <c r="VTO88" s="120"/>
      <c r="VTP88" s="120"/>
      <c r="VTQ88" s="120"/>
      <c r="VTR88" s="120"/>
      <c r="VTS88" s="120"/>
      <c r="VTT88" s="120"/>
      <c r="VTU88" s="120"/>
      <c r="VTV88" s="120"/>
      <c r="VTW88" s="120"/>
      <c r="VTX88" s="120"/>
      <c r="VTY88" s="120"/>
      <c r="VTZ88" s="120"/>
      <c r="VUA88" s="120"/>
      <c r="VUB88" s="120"/>
      <c r="VUC88" s="120"/>
      <c r="VUD88" s="120"/>
      <c r="VUE88" s="120"/>
      <c r="VUF88" s="120"/>
      <c r="VUG88" s="120"/>
      <c r="VUH88" s="120"/>
      <c r="VUI88" s="120"/>
      <c r="VUJ88" s="120"/>
      <c r="VUK88" s="120"/>
      <c r="VUL88" s="120"/>
      <c r="VUM88" s="120"/>
      <c r="VUN88" s="120"/>
      <c r="VUO88" s="120"/>
      <c r="VUP88" s="120"/>
      <c r="VUQ88" s="120"/>
      <c r="VUR88" s="120"/>
      <c r="VUS88" s="120"/>
      <c r="VUT88" s="120"/>
      <c r="VUU88" s="120"/>
      <c r="VUV88" s="120"/>
      <c r="VUW88" s="120"/>
      <c r="VUX88" s="120"/>
      <c r="VUY88" s="120"/>
      <c r="VUZ88" s="120"/>
      <c r="VVA88" s="120"/>
      <c r="VVB88" s="120"/>
      <c r="VVC88" s="120"/>
      <c r="VVD88" s="120"/>
      <c r="VVE88" s="120"/>
      <c r="VVF88" s="120"/>
      <c r="VVG88" s="120"/>
      <c r="VVH88" s="120"/>
      <c r="VVI88" s="120"/>
      <c r="VVJ88" s="120"/>
      <c r="VVK88" s="120"/>
      <c r="VVL88" s="120"/>
      <c r="VVM88" s="120"/>
      <c r="VVN88" s="120"/>
      <c r="VVO88" s="120"/>
      <c r="VVP88" s="120"/>
      <c r="VVQ88" s="120"/>
      <c r="VVR88" s="120"/>
      <c r="VVS88" s="120"/>
      <c r="VVT88" s="120"/>
      <c r="VVU88" s="120"/>
      <c r="VVV88" s="120"/>
      <c r="VVW88" s="120"/>
      <c r="VVX88" s="120"/>
      <c r="VVY88" s="120"/>
      <c r="VVZ88" s="120"/>
      <c r="VWA88" s="120"/>
      <c r="VWB88" s="120"/>
      <c r="VWC88" s="120"/>
      <c r="VWD88" s="120"/>
      <c r="VWE88" s="120"/>
      <c r="VWF88" s="120"/>
      <c r="VWG88" s="120"/>
      <c r="VWH88" s="120"/>
      <c r="VWI88" s="120"/>
      <c r="VWJ88" s="120"/>
      <c r="VWK88" s="120"/>
      <c r="VWL88" s="120"/>
      <c r="VWM88" s="120"/>
      <c r="VWN88" s="120"/>
      <c r="VWO88" s="120"/>
      <c r="VWP88" s="120"/>
      <c r="VWQ88" s="120"/>
      <c r="VWR88" s="120"/>
      <c r="VWS88" s="120"/>
      <c r="VWT88" s="120"/>
      <c r="VWU88" s="120"/>
      <c r="VWV88" s="120"/>
      <c r="VWW88" s="120"/>
      <c r="VWX88" s="120"/>
      <c r="VWY88" s="120"/>
      <c r="VWZ88" s="120"/>
      <c r="VXA88" s="120"/>
      <c r="VXB88" s="120"/>
      <c r="VXC88" s="120"/>
      <c r="VXD88" s="120"/>
      <c r="VXE88" s="120"/>
      <c r="VXF88" s="120"/>
      <c r="VXG88" s="120"/>
      <c r="VXH88" s="120"/>
      <c r="VXI88" s="120"/>
      <c r="VXJ88" s="120"/>
      <c r="VXK88" s="120"/>
      <c r="VXL88" s="120"/>
      <c r="VXM88" s="120"/>
      <c r="VXN88" s="120"/>
      <c r="VXO88" s="120"/>
      <c r="VXP88" s="120"/>
      <c r="VXQ88" s="120"/>
      <c r="VXR88" s="120"/>
      <c r="VXS88" s="120"/>
      <c r="VXT88" s="120"/>
      <c r="VXU88" s="120"/>
      <c r="VXV88" s="120"/>
      <c r="VXW88" s="120"/>
      <c r="VXX88" s="120"/>
      <c r="VXY88" s="120"/>
      <c r="VXZ88" s="120"/>
      <c r="VYA88" s="120"/>
      <c r="VYB88" s="120"/>
      <c r="VYC88" s="120"/>
      <c r="VYD88" s="120"/>
      <c r="VYE88" s="120"/>
      <c r="VYF88" s="120"/>
      <c r="VYG88" s="120"/>
      <c r="VYH88" s="120"/>
      <c r="VYI88" s="120"/>
      <c r="VYJ88" s="120"/>
      <c r="VYK88" s="120"/>
      <c r="VYL88" s="120"/>
      <c r="VYM88" s="120"/>
      <c r="VYN88" s="120"/>
      <c r="VYO88" s="120"/>
      <c r="VYP88" s="120"/>
      <c r="VYQ88" s="120"/>
      <c r="VYR88" s="120"/>
      <c r="VYS88" s="120"/>
      <c r="VYT88" s="120"/>
      <c r="VYU88" s="120"/>
      <c r="VYV88" s="120"/>
      <c r="VYW88" s="120"/>
      <c r="VYX88" s="120"/>
      <c r="VYY88" s="120"/>
      <c r="VYZ88" s="120"/>
      <c r="VZA88" s="120"/>
      <c r="VZB88" s="120"/>
      <c r="VZC88" s="120"/>
      <c r="VZD88" s="120"/>
      <c r="VZE88" s="120"/>
      <c r="VZF88" s="120"/>
      <c r="VZG88" s="120"/>
      <c r="VZH88" s="120"/>
      <c r="VZI88" s="120"/>
      <c r="VZJ88" s="120"/>
      <c r="VZK88" s="120"/>
      <c r="VZL88" s="120"/>
      <c r="VZM88" s="120"/>
      <c r="VZN88" s="120"/>
      <c r="VZO88" s="120"/>
      <c r="VZP88" s="120"/>
      <c r="VZQ88" s="120"/>
      <c r="VZR88" s="120"/>
      <c r="VZS88" s="120"/>
      <c r="VZT88" s="120"/>
      <c r="VZU88" s="120"/>
      <c r="VZV88" s="120"/>
      <c r="VZW88" s="120"/>
      <c r="VZX88" s="120"/>
      <c r="VZY88" s="120"/>
      <c r="VZZ88" s="120"/>
      <c r="WAA88" s="120"/>
      <c r="WAB88" s="120"/>
      <c r="WAC88" s="120"/>
      <c r="WAD88" s="120"/>
      <c r="WAE88" s="120"/>
      <c r="WAF88" s="120"/>
      <c r="WAG88" s="120"/>
      <c r="WAH88" s="120"/>
      <c r="WAI88" s="120"/>
      <c r="WAJ88" s="120"/>
      <c r="WAK88" s="120"/>
      <c r="WAL88" s="120"/>
      <c r="WAM88" s="120"/>
      <c r="WAN88" s="120"/>
      <c r="WAO88" s="120"/>
      <c r="WAP88" s="120"/>
      <c r="WAQ88" s="120"/>
      <c r="WAR88" s="120"/>
      <c r="WAS88" s="120"/>
      <c r="WAT88" s="120"/>
      <c r="WAU88" s="120"/>
      <c r="WAV88" s="120"/>
      <c r="WAW88" s="120"/>
      <c r="WAX88" s="120"/>
      <c r="WAY88" s="120"/>
      <c r="WAZ88" s="120"/>
      <c r="WBA88" s="120"/>
      <c r="WBB88" s="120"/>
      <c r="WBC88" s="120"/>
      <c r="WBD88" s="120"/>
      <c r="WBE88" s="120"/>
      <c r="WBF88" s="120"/>
      <c r="WBG88" s="120"/>
      <c r="WBH88" s="120"/>
      <c r="WBI88" s="120"/>
      <c r="WBJ88" s="120"/>
      <c r="WBK88" s="120"/>
      <c r="WBL88" s="120"/>
      <c r="WBM88" s="120"/>
      <c r="WBN88" s="120"/>
      <c r="WBO88" s="120"/>
      <c r="WBP88" s="120"/>
      <c r="WBQ88" s="120"/>
      <c r="WBR88" s="120"/>
      <c r="WBS88" s="120"/>
      <c r="WBT88" s="120"/>
      <c r="WBU88" s="120"/>
      <c r="WBV88" s="120"/>
      <c r="WBW88" s="120"/>
      <c r="WBX88" s="120"/>
      <c r="WBY88" s="120"/>
      <c r="WBZ88" s="120"/>
      <c r="WCA88" s="120"/>
      <c r="WCB88" s="120"/>
      <c r="WCC88" s="120"/>
      <c r="WCD88" s="120"/>
      <c r="WCE88" s="120"/>
      <c r="WCF88" s="120"/>
      <c r="WCG88" s="120"/>
      <c r="WCH88" s="120"/>
      <c r="WCI88" s="120"/>
      <c r="WCJ88" s="120"/>
      <c r="WCK88" s="120"/>
      <c r="WCL88" s="120"/>
      <c r="WCM88" s="120"/>
      <c r="WCN88" s="120"/>
      <c r="WCO88" s="120"/>
      <c r="WCP88" s="120"/>
      <c r="WCQ88" s="120"/>
      <c r="WCR88" s="120"/>
      <c r="WCS88" s="120"/>
      <c r="WCT88" s="120"/>
      <c r="WCU88" s="120"/>
      <c r="WCV88" s="120"/>
      <c r="WCW88" s="120"/>
      <c r="WCX88" s="120"/>
      <c r="WCY88" s="120"/>
      <c r="WCZ88" s="120"/>
      <c r="WDA88" s="120"/>
      <c r="WDB88" s="120"/>
      <c r="WDC88" s="120"/>
      <c r="WDD88" s="120"/>
      <c r="WDE88" s="120"/>
      <c r="WDF88" s="120"/>
      <c r="WDG88" s="120"/>
      <c r="WDH88" s="120"/>
      <c r="WDI88" s="120"/>
      <c r="WDJ88" s="120"/>
      <c r="WDK88" s="120"/>
      <c r="WDL88" s="120"/>
      <c r="WDM88" s="120"/>
      <c r="WDN88" s="120"/>
      <c r="WDO88" s="120"/>
      <c r="WDP88" s="120"/>
      <c r="WDQ88" s="120"/>
      <c r="WDR88" s="120"/>
      <c r="WDS88" s="120"/>
      <c r="WDT88" s="120"/>
      <c r="WDU88" s="120"/>
      <c r="WDV88" s="120"/>
      <c r="WDW88" s="120"/>
      <c r="WDX88" s="120"/>
      <c r="WDY88" s="120"/>
      <c r="WDZ88" s="120"/>
      <c r="WEA88" s="120"/>
      <c r="WEB88" s="120"/>
      <c r="WEC88" s="120"/>
      <c r="WED88" s="120"/>
      <c r="WEE88" s="120"/>
      <c r="WEF88" s="120"/>
      <c r="WEG88" s="120"/>
      <c r="WEH88" s="120"/>
      <c r="WEI88" s="120"/>
      <c r="WEJ88" s="120"/>
      <c r="WEK88" s="120"/>
      <c r="WEL88" s="120"/>
      <c r="WEM88" s="120"/>
      <c r="WEN88" s="120"/>
      <c r="WEO88" s="120"/>
      <c r="WEP88" s="120"/>
      <c r="WEQ88" s="120"/>
      <c r="WER88" s="120"/>
      <c r="WES88" s="120"/>
      <c r="WET88" s="120"/>
      <c r="WEU88" s="120"/>
      <c r="WEV88" s="120"/>
      <c r="WEW88" s="120"/>
      <c r="WEX88" s="120"/>
      <c r="WEY88" s="120"/>
      <c r="WEZ88" s="120"/>
      <c r="WFA88" s="120"/>
      <c r="WFB88" s="120"/>
      <c r="WFC88" s="120"/>
      <c r="WFD88" s="120"/>
      <c r="WFE88" s="120"/>
      <c r="WFF88" s="120"/>
      <c r="WFG88" s="120"/>
      <c r="WFH88" s="120"/>
      <c r="WFI88" s="120"/>
      <c r="WFJ88" s="120"/>
      <c r="WFK88" s="120"/>
      <c r="WFL88" s="120"/>
      <c r="WFM88" s="120"/>
      <c r="WFN88" s="120"/>
      <c r="WFO88" s="120"/>
      <c r="WFP88" s="120"/>
      <c r="WFQ88" s="120"/>
      <c r="WFR88" s="120"/>
      <c r="WFS88" s="120"/>
      <c r="WFT88" s="120"/>
      <c r="WFU88" s="120"/>
      <c r="WFV88" s="120"/>
      <c r="WFW88" s="120"/>
      <c r="WFX88" s="120"/>
      <c r="WFY88" s="120"/>
      <c r="WFZ88" s="120"/>
      <c r="WGA88" s="120"/>
      <c r="WGB88" s="120"/>
      <c r="WGC88" s="120"/>
      <c r="WGD88" s="120"/>
      <c r="WGE88" s="120"/>
      <c r="WGF88" s="120"/>
      <c r="WGG88" s="120"/>
      <c r="WGH88" s="120"/>
      <c r="WGI88" s="120"/>
      <c r="WGJ88" s="120"/>
      <c r="WGK88" s="120"/>
      <c r="WGL88" s="120"/>
      <c r="WGM88" s="120"/>
      <c r="WGN88" s="120"/>
      <c r="WGO88" s="120"/>
      <c r="WGP88" s="120"/>
      <c r="WGQ88" s="120"/>
      <c r="WGR88" s="120"/>
      <c r="WGS88" s="120"/>
      <c r="WGT88" s="120"/>
      <c r="WGU88" s="120"/>
      <c r="WGV88" s="120"/>
      <c r="WGW88" s="120"/>
      <c r="WGX88" s="120"/>
      <c r="WGY88" s="120"/>
      <c r="WGZ88" s="120"/>
      <c r="WHA88" s="120"/>
      <c r="WHB88" s="120"/>
      <c r="WHC88" s="120"/>
      <c r="WHD88" s="120"/>
      <c r="WHE88" s="120"/>
      <c r="WHF88" s="120"/>
      <c r="WHG88" s="120"/>
      <c r="WHH88" s="120"/>
      <c r="WHI88" s="120"/>
      <c r="WHJ88" s="120"/>
      <c r="WHK88" s="120"/>
      <c r="WHL88" s="120"/>
      <c r="WHM88" s="120"/>
      <c r="WHN88" s="120"/>
      <c r="WHO88" s="120"/>
      <c r="WHP88" s="120"/>
      <c r="WHQ88" s="120"/>
      <c r="WHR88" s="120"/>
      <c r="WHS88" s="120"/>
      <c r="WHT88" s="120"/>
      <c r="WHU88" s="120"/>
      <c r="WHV88" s="120"/>
      <c r="WHW88" s="120"/>
      <c r="WHX88" s="120"/>
      <c r="WHY88" s="120"/>
      <c r="WHZ88" s="120"/>
      <c r="WIA88" s="120"/>
      <c r="WIB88" s="120"/>
      <c r="WIC88" s="120"/>
      <c r="WID88" s="120"/>
      <c r="WIE88" s="120"/>
      <c r="WIF88" s="120"/>
      <c r="WIG88" s="120"/>
      <c r="WIH88" s="120"/>
      <c r="WII88" s="120"/>
      <c r="WIJ88" s="120"/>
      <c r="WIK88" s="120"/>
      <c r="WIL88" s="120"/>
      <c r="WIM88" s="120"/>
      <c r="WIN88" s="120"/>
      <c r="WIO88" s="120"/>
      <c r="WIP88" s="120"/>
      <c r="WIQ88" s="120"/>
      <c r="WIR88" s="120"/>
      <c r="WIS88" s="120"/>
      <c r="WIT88" s="120"/>
      <c r="WIU88" s="120"/>
      <c r="WIV88" s="120"/>
      <c r="WIW88" s="120"/>
      <c r="WIX88" s="120"/>
      <c r="WIY88" s="120"/>
      <c r="WIZ88" s="120"/>
      <c r="WJA88" s="120"/>
      <c r="WJB88" s="120"/>
      <c r="WJC88" s="120"/>
      <c r="WJD88" s="120"/>
      <c r="WJE88" s="120"/>
      <c r="WJF88" s="120"/>
      <c r="WJG88" s="120"/>
      <c r="WJH88" s="120"/>
      <c r="WJI88" s="120"/>
      <c r="WJJ88" s="120"/>
      <c r="WJK88" s="120"/>
      <c r="WJL88" s="120"/>
      <c r="WJM88" s="120"/>
      <c r="WJN88" s="120"/>
      <c r="WJO88" s="120"/>
      <c r="WJP88" s="120"/>
      <c r="WJQ88" s="120"/>
      <c r="WJR88" s="120"/>
      <c r="WJS88" s="120"/>
      <c r="WJT88" s="120"/>
      <c r="WJU88" s="120"/>
      <c r="WJV88" s="120"/>
      <c r="WJW88" s="120"/>
      <c r="WJX88" s="120"/>
      <c r="WJY88" s="120"/>
      <c r="WJZ88" s="120"/>
      <c r="WKA88" s="120"/>
      <c r="WKB88" s="120"/>
      <c r="WKC88" s="120"/>
      <c r="WKD88" s="120"/>
      <c r="WKE88" s="120"/>
      <c r="WKF88" s="120"/>
      <c r="WKG88" s="120"/>
      <c r="WKH88" s="120"/>
      <c r="WKI88" s="120"/>
      <c r="WKJ88" s="120"/>
      <c r="WKK88" s="120"/>
      <c r="WKL88" s="120"/>
      <c r="WKM88" s="120"/>
      <c r="WKN88" s="120"/>
      <c r="WKO88" s="120"/>
      <c r="WKP88" s="120"/>
      <c r="WKQ88" s="120"/>
      <c r="WKR88" s="120"/>
      <c r="WKS88" s="120"/>
      <c r="WKT88" s="120"/>
      <c r="WKU88" s="120"/>
      <c r="WKV88" s="120"/>
      <c r="WKW88" s="120"/>
      <c r="WKX88" s="120"/>
      <c r="WKY88" s="120"/>
      <c r="WKZ88" s="120"/>
      <c r="WLA88" s="120"/>
      <c r="WLB88" s="120"/>
      <c r="WLC88" s="120"/>
      <c r="WLD88" s="120"/>
      <c r="WLE88" s="120"/>
      <c r="WLF88" s="120"/>
      <c r="WLG88" s="120"/>
      <c r="WLH88" s="120"/>
      <c r="WLI88" s="120"/>
      <c r="WLJ88" s="120"/>
      <c r="WLK88" s="120"/>
      <c r="WLL88" s="120"/>
      <c r="WLM88" s="120"/>
      <c r="WLN88" s="120"/>
      <c r="WLO88" s="120"/>
      <c r="WLP88" s="120"/>
      <c r="WLQ88" s="120"/>
      <c r="WLR88" s="120"/>
      <c r="WLS88" s="120"/>
      <c r="WLT88" s="120"/>
      <c r="WLU88" s="120"/>
      <c r="WLV88" s="120"/>
      <c r="WLW88" s="120"/>
      <c r="WLX88" s="120"/>
      <c r="WLY88" s="120"/>
      <c r="WLZ88" s="120"/>
      <c r="WMA88" s="120"/>
      <c r="WMB88" s="120"/>
      <c r="WMC88" s="120"/>
      <c r="WMD88" s="120"/>
      <c r="WME88" s="120"/>
      <c r="WMF88" s="120"/>
      <c r="WMG88" s="120"/>
      <c r="WMH88" s="120"/>
      <c r="WMI88" s="120"/>
      <c r="WMJ88" s="120"/>
      <c r="WMK88" s="120"/>
      <c r="WML88" s="120"/>
      <c r="WMM88" s="120"/>
      <c r="WMN88" s="120"/>
      <c r="WMO88" s="120"/>
      <c r="WMP88" s="120"/>
      <c r="WMQ88" s="120"/>
      <c r="WMR88" s="120"/>
      <c r="WMS88" s="120"/>
      <c r="WMT88" s="120"/>
      <c r="WMU88" s="120"/>
      <c r="WMV88" s="120"/>
      <c r="WMW88" s="120"/>
      <c r="WMX88" s="120"/>
      <c r="WMY88" s="120"/>
      <c r="WMZ88" s="120"/>
      <c r="WNA88" s="120"/>
      <c r="WNB88" s="120"/>
      <c r="WNC88" s="120"/>
      <c r="WND88" s="120"/>
      <c r="WNE88" s="120"/>
      <c r="WNF88" s="120"/>
      <c r="WNG88" s="120"/>
      <c r="WNH88" s="120"/>
      <c r="WNI88" s="120"/>
      <c r="WNJ88" s="120"/>
      <c r="WNK88" s="120"/>
      <c r="WNL88" s="120"/>
      <c r="WNM88" s="120"/>
      <c r="WNN88" s="120"/>
      <c r="WNO88" s="120"/>
      <c r="WNP88" s="120"/>
      <c r="WNQ88" s="120"/>
      <c r="WNR88" s="120"/>
      <c r="WNS88" s="120"/>
      <c r="WNT88" s="120"/>
      <c r="WNU88" s="120"/>
      <c r="WNV88" s="120"/>
      <c r="WNW88" s="120"/>
      <c r="WNX88" s="120"/>
      <c r="WNY88" s="120"/>
      <c r="WNZ88" s="120"/>
      <c r="WOA88" s="120"/>
      <c r="WOB88" s="120"/>
      <c r="WOC88" s="120"/>
      <c r="WOD88" s="120"/>
      <c r="WOE88" s="120"/>
      <c r="WOF88" s="120"/>
      <c r="WOG88" s="120"/>
      <c r="WOH88" s="120"/>
      <c r="WOI88" s="120"/>
      <c r="WOJ88" s="120"/>
      <c r="WOK88" s="120"/>
      <c r="WOL88" s="120"/>
      <c r="WOM88" s="120"/>
      <c r="WON88" s="120"/>
      <c r="WOO88" s="120"/>
      <c r="WOP88" s="120"/>
      <c r="WOQ88" s="120"/>
      <c r="WOR88" s="120"/>
      <c r="WOS88" s="120"/>
      <c r="WOT88" s="120"/>
      <c r="WOU88" s="120"/>
      <c r="WOV88" s="120"/>
      <c r="WOW88" s="120"/>
      <c r="WOX88" s="120"/>
      <c r="WOY88" s="120"/>
      <c r="WOZ88" s="120"/>
      <c r="WPA88" s="120"/>
      <c r="WPB88" s="120"/>
      <c r="WPC88" s="120"/>
      <c r="WPD88" s="120"/>
      <c r="WPE88" s="120"/>
      <c r="WPF88" s="120"/>
      <c r="WPG88" s="120"/>
      <c r="WPH88" s="120"/>
      <c r="WPI88" s="120"/>
      <c r="WPJ88" s="120"/>
      <c r="WPK88" s="120"/>
      <c r="WPL88" s="120"/>
      <c r="WPM88" s="120"/>
      <c r="WPN88" s="120"/>
      <c r="WPO88" s="120"/>
      <c r="WPP88" s="120"/>
      <c r="WPQ88" s="120"/>
      <c r="WPR88" s="120"/>
      <c r="WPS88" s="120"/>
      <c r="WPT88" s="120"/>
      <c r="WPU88" s="120"/>
      <c r="WPV88" s="120"/>
      <c r="WPW88" s="120"/>
      <c r="WPX88" s="120"/>
      <c r="WPY88" s="120"/>
      <c r="WPZ88" s="120"/>
      <c r="WQA88" s="120"/>
      <c r="WQB88" s="120"/>
      <c r="WQC88" s="120"/>
      <c r="WQD88" s="120"/>
      <c r="WQE88" s="120"/>
      <c r="WQF88" s="120"/>
      <c r="WQG88" s="120"/>
      <c r="WQH88" s="120"/>
      <c r="WQI88" s="120"/>
      <c r="WQJ88" s="120"/>
      <c r="WQK88" s="120"/>
      <c r="WQL88" s="120"/>
      <c r="WQM88" s="120"/>
      <c r="WQN88" s="120"/>
      <c r="WQO88" s="120"/>
      <c r="WQP88" s="120"/>
      <c r="WQQ88" s="120"/>
      <c r="WQR88" s="120"/>
      <c r="WQS88" s="120"/>
      <c r="WQT88" s="120"/>
      <c r="WQU88" s="120"/>
      <c r="WQV88" s="120"/>
      <c r="WQW88" s="120"/>
      <c r="WQX88" s="120"/>
      <c r="WQY88" s="120"/>
      <c r="WQZ88" s="120"/>
      <c r="WRA88" s="120"/>
      <c r="WRB88" s="120"/>
      <c r="WRC88" s="120"/>
      <c r="WRD88" s="120"/>
      <c r="WRE88" s="120"/>
      <c r="WRF88" s="120"/>
      <c r="WRG88" s="120"/>
      <c r="WRH88" s="120"/>
      <c r="WRI88" s="120"/>
      <c r="WRJ88" s="120"/>
      <c r="WRK88" s="120"/>
      <c r="WRL88" s="120"/>
      <c r="WRM88" s="120"/>
      <c r="WRN88" s="120"/>
      <c r="WRO88" s="120"/>
      <c r="WRP88" s="120"/>
      <c r="WRQ88" s="120"/>
      <c r="WRR88" s="120"/>
      <c r="WRS88" s="120"/>
      <c r="WRT88" s="120"/>
      <c r="WRU88" s="120"/>
      <c r="WRV88" s="120"/>
      <c r="WRW88" s="120"/>
      <c r="WRX88" s="120"/>
      <c r="WRY88" s="120"/>
      <c r="WRZ88" s="120"/>
      <c r="WSA88" s="120"/>
      <c r="WSB88" s="120"/>
      <c r="WSC88" s="120"/>
      <c r="WSD88" s="120"/>
      <c r="WSE88" s="120"/>
      <c r="WSF88" s="120"/>
      <c r="WSG88" s="120"/>
      <c r="WSH88" s="120"/>
      <c r="WSI88" s="120"/>
      <c r="WSJ88" s="120"/>
      <c r="WSK88" s="120"/>
      <c r="WSL88" s="120"/>
      <c r="WSM88" s="120"/>
      <c r="WSN88" s="120"/>
      <c r="WSO88" s="120"/>
      <c r="WSP88" s="120"/>
      <c r="WSQ88" s="120"/>
      <c r="WSR88" s="120"/>
      <c r="WSS88" s="120"/>
      <c r="WST88" s="120"/>
      <c r="WSU88" s="120"/>
      <c r="WSV88" s="120"/>
      <c r="WSW88" s="120"/>
      <c r="WSX88" s="120"/>
      <c r="WSY88" s="120"/>
      <c r="WSZ88" s="120"/>
      <c r="WTA88" s="120"/>
      <c r="WTB88" s="120"/>
      <c r="WTC88" s="120"/>
      <c r="WTD88" s="120"/>
      <c r="WTE88" s="120"/>
      <c r="WTF88" s="120"/>
      <c r="WTG88" s="120"/>
      <c r="WTH88" s="120"/>
      <c r="WTI88" s="120"/>
      <c r="WTJ88" s="120"/>
      <c r="WTK88" s="120"/>
      <c r="WTL88" s="120"/>
      <c r="WTM88" s="120"/>
      <c r="WTN88" s="120"/>
      <c r="WTO88" s="120"/>
      <c r="WTP88" s="120"/>
      <c r="WTQ88" s="120"/>
      <c r="WTR88" s="120"/>
      <c r="WTS88" s="120"/>
      <c r="WTT88" s="120"/>
      <c r="WTU88" s="120"/>
      <c r="WTV88" s="120"/>
      <c r="WTW88" s="120"/>
      <c r="WTX88" s="120"/>
      <c r="WTY88" s="120"/>
      <c r="WTZ88" s="120"/>
      <c r="WUA88" s="120"/>
      <c r="WUB88" s="120"/>
      <c r="WUC88" s="120"/>
      <c r="WUD88" s="120"/>
      <c r="WUE88" s="120"/>
      <c r="WUF88" s="120"/>
      <c r="WUG88" s="120"/>
      <c r="WUH88" s="120"/>
      <c r="WUI88" s="120"/>
      <c r="WUJ88" s="120"/>
      <c r="WUK88" s="120"/>
      <c r="WUL88" s="120"/>
      <c r="WUM88" s="120"/>
      <c r="WUN88" s="120"/>
      <c r="WUO88" s="120"/>
      <c r="WUP88" s="120"/>
      <c r="WUQ88" s="120"/>
      <c r="WUR88" s="120"/>
      <c r="WUS88" s="120"/>
      <c r="WUT88" s="120"/>
      <c r="WUU88" s="120"/>
      <c r="WUV88" s="120"/>
      <c r="WUW88" s="120"/>
      <c r="WUX88" s="120"/>
      <c r="WUY88" s="120"/>
      <c r="WUZ88" s="120"/>
      <c r="WVA88" s="120"/>
      <c r="WVB88" s="120"/>
      <c r="WVC88" s="120"/>
      <c r="WVD88" s="120"/>
      <c r="WVE88" s="120"/>
      <c r="WVF88" s="120"/>
      <c r="WVG88" s="120"/>
      <c r="WVH88" s="120"/>
      <c r="WVI88" s="120"/>
      <c r="WVJ88" s="120"/>
      <c r="WVK88" s="120"/>
      <c r="WVL88" s="120"/>
      <c r="WVM88" s="120"/>
      <c r="WVN88" s="120"/>
      <c r="WVO88" s="120"/>
      <c r="WVP88" s="120"/>
      <c r="WVQ88" s="120"/>
      <c r="WVR88" s="120"/>
      <c r="WVS88" s="120"/>
      <c r="WVT88" s="120"/>
      <c r="WVU88" s="120"/>
      <c r="WVV88" s="120"/>
      <c r="WVW88" s="120"/>
      <c r="WVX88" s="120"/>
      <c r="WVY88" s="120"/>
      <c r="WVZ88" s="120"/>
      <c r="WWA88" s="120"/>
      <c r="WWB88" s="120"/>
      <c r="WWC88" s="120"/>
      <c r="WWD88" s="120"/>
      <c r="WWE88" s="120"/>
      <c r="WWF88" s="120"/>
      <c r="WWG88" s="120"/>
      <c r="WWH88" s="120"/>
      <c r="WWI88" s="120"/>
      <c r="WWJ88" s="120"/>
      <c r="WWK88" s="120"/>
      <c r="WWL88" s="120"/>
      <c r="WWM88" s="120"/>
      <c r="WWN88" s="120"/>
      <c r="WWO88" s="120"/>
      <c r="WWP88" s="120"/>
      <c r="WWQ88" s="120"/>
      <c r="WWR88" s="120"/>
      <c r="WWS88" s="120"/>
      <c r="WWT88" s="120"/>
      <c r="WWU88" s="120"/>
      <c r="WWV88" s="120"/>
      <c r="WWW88" s="120"/>
      <c r="WWX88" s="120"/>
      <c r="WWY88" s="120"/>
      <c r="WWZ88" s="120"/>
      <c r="WXA88" s="120"/>
      <c r="WXB88" s="120"/>
      <c r="WXC88" s="120"/>
      <c r="WXD88" s="120"/>
      <c r="WXE88" s="120"/>
      <c r="WXF88" s="120"/>
      <c r="WXG88" s="120"/>
      <c r="WXH88" s="120"/>
      <c r="WXI88" s="120"/>
      <c r="WXJ88" s="120"/>
      <c r="WXK88" s="120"/>
      <c r="WXL88" s="120"/>
      <c r="WXM88" s="120"/>
      <c r="WXN88" s="120"/>
      <c r="WXO88" s="120"/>
      <c r="WXP88" s="120"/>
      <c r="WXQ88" s="120"/>
      <c r="WXR88" s="120"/>
      <c r="WXS88" s="120"/>
      <c r="WXT88" s="120"/>
      <c r="WXU88" s="120"/>
      <c r="WXV88" s="120"/>
      <c r="WXW88" s="120"/>
      <c r="WXX88" s="120"/>
      <c r="WXY88" s="120"/>
      <c r="WXZ88" s="120"/>
      <c r="WYA88" s="120"/>
      <c r="WYB88" s="120"/>
      <c r="WYC88" s="120"/>
      <c r="WYD88" s="120"/>
      <c r="WYE88" s="120"/>
      <c r="WYF88" s="120"/>
      <c r="WYG88" s="120"/>
      <c r="WYH88" s="120"/>
      <c r="WYI88" s="120"/>
      <c r="WYJ88" s="120"/>
      <c r="WYK88" s="120"/>
      <c r="WYL88" s="120"/>
      <c r="WYM88" s="120"/>
      <c r="WYN88" s="120"/>
      <c r="WYO88" s="120"/>
      <c r="WYP88" s="120"/>
      <c r="WYQ88" s="120"/>
      <c r="WYR88" s="120"/>
      <c r="WYS88" s="120"/>
      <c r="WYT88" s="120"/>
      <c r="WYU88" s="120"/>
      <c r="WYV88" s="120"/>
      <c r="WYW88" s="120"/>
      <c r="WYX88" s="120"/>
      <c r="WYY88" s="120"/>
      <c r="WYZ88" s="120"/>
      <c r="WZA88" s="120"/>
      <c r="WZB88" s="120"/>
      <c r="WZC88" s="120"/>
      <c r="WZD88" s="120"/>
      <c r="WZE88" s="120"/>
      <c r="WZF88" s="120"/>
      <c r="WZG88" s="120"/>
      <c r="WZH88" s="120"/>
      <c r="WZI88" s="120"/>
      <c r="WZJ88" s="120"/>
      <c r="WZK88" s="120"/>
      <c r="WZL88" s="120"/>
      <c r="WZM88" s="120"/>
      <c r="WZN88" s="120"/>
      <c r="WZO88" s="120"/>
      <c r="WZP88" s="120"/>
      <c r="WZQ88" s="120"/>
      <c r="WZR88" s="120"/>
      <c r="WZS88" s="120"/>
      <c r="WZT88" s="120"/>
      <c r="WZU88" s="120"/>
      <c r="WZV88" s="120"/>
      <c r="WZW88" s="120"/>
      <c r="WZX88" s="120"/>
      <c r="WZY88" s="120"/>
      <c r="WZZ88" s="120"/>
      <c r="XAA88" s="120"/>
      <c r="XAB88" s="120"/>
      <c r="XAC88" s="120"/>
      <c r="XAD88" s="120"/>
      <c r="XAE88" s="120"/>
      <c r="XAF88" s="120"/>
      <c r="XAG88" s="120"/>
      <c r="XAH88" s="120"/>
      <c r="XAI88" s="120"/>
      <c r="XAJ88" s="120"/>
      <c r="XAK88" s="120"/>
      <c r="XAL88" s="120"/>
      <c r="XAM88" s="120"/>
      <c r="XAN88" s="120"/>
      <c r="XAO88" s="120"/>
      <c r="XAP88" s="120"/>
      <c r="XAQ88" s="120"/>
      <c r="XAR88" s="120"/>
      <c r="XAS88" s="120"/>
      <c r="XAT88" s="120"/>
      <c r="XAU88" s="120"/>
      <c r="XAV88" s="120"/>
      <c r="XAW88" s="120"/>
      <c r="XAX88" s="120"/>
      <c r="XAY88" s="120"/>
      <c r="XAZ88" s="120"/>
      <c r="XBA88" s="120"/>
      <c r="XBB88" s="120"/>
      <c r="XBC88" s="120"/>
      <c r="XBD88" s="120"/>
      <c r="XBE88" s="120"/>
      <c r="XBF88" s="120"/>
      <c r="XBG88" s="120"/>
      <c r="XBH88" s="120"/>
      <c r="XBI88" s="120"/>
      <c r="XBJ88" s="120"/>
      <c r="XBK88" s="120"/>
      <c r="XBL88" s="120"/>
      <c r="XBM88" s="120"/>
      <c r="XBN88" s="120"/>
      <c r="XBO88" s="120"/>
      <c r="XBP88" s="120"/>
      <c r="XBQ88" s="120"/>
      <c r="XBR88" s="120"/>
      <c r="XBS88" s="120"/>
      <c r="XBT88" s="120"/>
      <c r="XBU88" s="120"/>
      <c r="XBV88" s="120"/>
      <c r="XBW88" s="120"/>
      <c r="XBX88" s="120"/>
      <c r="XBY88" s="120"/>
      <c r="XBZ88" s="120"/>
      <c r="XCA88" s="120"/>
      <c r="XCB88" s="120"/>
      <c r="XCC88" s="120"/>
      <c r="XCD88" s="120"/>
      <c r="XCE88" s="120"/>
      <c r="XCF88" s="120"/>
      <c r="XCG88" s="120"/>
      <c r="XCH88" s="120"/>
      <c r="XCI88" s="120"/>
      <c r="XCJ88" s="120"/>
      <c r="XCK88" s="120"/>
      <c r="XCL88" s="120"/>
      <c r="XCM88" s="120"/>
      <c r="XCN88" s="120"/>
      <c r="XCO88" s="120"/>
      <c r="XCP88" s="120"/>
      <c r="XCQ88" s="120"/>
      <c r="XCR88" s="120"/>
      <c r="XCS88" s="120"/>
      <c r="XCT88" s="120"/>
      <c r="XCU88" s="120"/>
      <c r="XCV88" s="120"/>
      <c r="XCW88" s="120"/>
      <c r="XCX88" s="120"/>
      <c r="XCY88" s="120"/>
      <c r="XCZ88" s="120"/>
      <c r="XDA88" s="120"/>
      <c r="XDB88" s="120"/>
      <c r="XDC88" s="120"/>
      <c r="XDD88" s="120"/>
      <c r="XDE88" s="120"/>
      <c r="XDF88" s="120"/>
      <c r="XDG88" s="120"/>
      <c r="XDH88" s="120"/>
      <c r="XDI88" s="120"/>
      <c r="XDJ88" s="120"/>
      <c r="XDK88" s="120"/>
      <c r="XDL88" s="120"/>
      <c r="XDM88" s="120"/>
      <c r="XDN88" s="120"/>
      <c r="XDO88" s="120"/>
      <c r="XDP88" s="120"/>
      <c r="XDQ88" s="120"/>
      <c r="XDR88" s="120"/>
      <c r="XDS88" s="120"/>
      <c r="XDT88" s="120"/>
      <c r="XDU88" s="120"/>
      <c r="XDV88" s="120"/>
      <c r="XDW88" s="120"/>
      <c r="XDX88" s="120"/>
      <c r="XDY88" s="120"/>
      <c r="XDZ88" s="120"/>
      <c r="XEA88" s="120"/>
      <c r="XEB88" s="120"/>
      <c r="XEC88" s="120"/>
      <c r="XED88" s="120"/>
      <c r="XEE88" s="120"/>
      <c r="XEF88" s="120"/>
      <c r="XEG88" s="120"/>
      <c r="XEH88" s="120"/>
      <c r="XEI88" s="120"/>
      <c r="XEJ88" s="120"/>
      <c r="XEK88" s="120"/>
      <c r="XEL88" s="120"/>
      <c r="XEM88" s="120"/>
      <c r="XEN88" s="120"/>
      <c r="XEO88" s="120"/>
      <c r="XEP88" s="120"/>
      <c r="XEQ88" s="120"/>
      <c r="XER88" s="120"/>
      <c r="XES88" s="120"/>
      <c r="XET88" s="120"/>
    </row>
    <row r="89" spans="1:16374" s="15" customFormat="1" ht="12.5">
      <c r="A89" s="156" t="s">
        <v>448</v>
      </c>
      <c r="B89" s="156" t="s">
        <v>246</v>
      </c>
      <c r="C89" s="157" t="s">
        <v>389</v>
      </c>
      <c r="D89" s="158">
        <v>1</v>
      </c>
      <c r="E89" s="159" t="s">
        <v>740</v>
      </c>
      <c r="F89" s="160" t="s">
        <v>541</v>
      </c>
      <c r="G89" s="161">
        <v>2052</v>
      </c>
      <c r="H89" s="160"/>
      <c r="I89" s="160"/>
      <c r="J89" s="162">
        <v>212</v>
      </c>
      <c r="K89" s="163" t="s">
        <v>93</v>
      </c>
      <c r="L89" s="163" t="s">
        <v>101</v>
      </c>
      <c r="M89" s="162" t="s">
        <v>580</v>
      </c>
      <c r="N89" s="163" t="s">
        <v>46</v>
      </c>
      <c r="O89" s="163" t="s">
        <v>760</v>
      </c>
      <c r="P89" s="164">
        <v>0</v>
      </c>
      <c r="Q89" s="165" t="s">
        <v>25</v>
      </c>
      <c r="R89" s="165" t="s">
        <v>26</v>
      </c>
      <c r="S89" s="162">
        <v>2030</v>
      </c>
      <c r="T89" s="166">
        <v>48487</v>
      </c>
      <c r="U89" s="167">
        <v>0.8</v>
      </c>
      <c r="V89" s="167">
        <v>0.19999999999999996</v>
      </c>
      <c r="W89" s="168">
        <f t="shared" ref="W89:W92" si="34">SUM(U89:V89)</f>
        <v>1</v>
      </c>
      <c r="X89" s="167">
        <v>0.05</v>
      </c>
      <c r="Y89" s="167">
        <v>0</v>
      </c>
      <c r="Z89" s="167">
        <v>6.8000000000000005E-2</v>
      </c>
      <c r="AA89" s="169">
        <v>0.19800000000000001</v>
      </c>
      <c r="AB89" s="167"/>
      <c r="AC89" s="170">
        <f t="shared" ref="AC89" si="35">AI89*AJ89</f>
        <v>271890</v>
      </c>
      <c r="AD89" s="166"/>
      <c r="AE89" s="160">
        <f t="shared" ref="AE89:AE92" si="36">P89/10^6</f>
        <v>0</v>
      </c>
      <c r="AF89" s="169">
        <f t="shared" ref="AF89:AF92" si="37">IF(AL89=0,0,AE89/AL89)</f>
        <v>0</v>
      </c>
      <c r="AG89" s="171">
        <f t="shared" ref="AG89:AG92" si="38">(AH89*AI89*AJ89)/10^6</f>
        <v>32.626800000000003</v>
      </c>
      <c r="AH89" s="160">
        <v>120</v>
      </c>
      <c r="AI89" s="160">
        <v>265</v>
      </c>
      <c r="AJ89" s="160">
        <v>1026</v>
      </c>
      <c r="AK89" s="160">
        <v>500</v>
      </c>
      <c r="AL89" s="171">
        <f t="shared" ref="AL89:AL92" si="39">(AK89*AJ89*AI89)/10^6</f>
        <v>135.94499999999999</v>
      </c>
      <c r="AM89" s="171">
        <f t="shared" ref="AM89:AM92" si="40">AL89*U89</f>
        <v>108.756</v>
      </c>
      <c r="AN89" s="172">
        <f t="shared" ref="AN89:AN92" si="41">AI89*AK89</f>
        <v>132500</v>
      </c>
      <c r="AO89" s="172">
        <f t="shared" ref="AO89:AO92" si="42">AH89*AI89</f>
        <v>31800</v>
      </c>
      <c r="AP89" s="173">
        <f t="shared" ref="AP89:AP92" si="43">U89+AB89</f>
        <v>0.8</v>
      </c>
      <c r="AQ89" s="174">
        <f t="shared" ref="AQ89:AQ92" si="44">AL89*AP89/(AG89+AE89)</f>
        <v>3.333333333333333</v>
      </c>
    </row>
    <row r="90" spans="1:16374" s="15" customFormat="1" ht="12.5">
      <c r="A90" s="156" t="s">
        <v>446</v>
      </c>
      <c r="B90" s="156" t="s">
        <v>243</v>
      </c>
      <c r="C90" s="157" t="s">
        <v>390</v>
      </c>
      <c r="D90" s="158">
        <v>1</v>
      </c>
      <c r="E90" s="159" t="s">
        <v>740</v>
      </c>
      <c r="F90" s="160"/>
      <c r="G90" s="161">
        <v>2056</v>
      </c>
      <c r="H90" s="160"/>
      <c r="I90" s="160"/>
      <c r="J90" s="162">
        <v>208</v>
      </c>
      <c r="K90" s="163" t="s">
        <v>93</v>
      </c>
      <c r="L90" s="163" t="s">
        <v>98</v>
      </c>
      <c r="M90" s="162" t="s">
        <v>571</v>
      </c>
      <c r="N90" s="163" t="s">
        <v>100</v>
      </c>
      <c r="O90" s="163" t="s">
        <v>760</v>
      </c>
      <c r="P90" s="164">
        <v>0</v>
      </c>
      <c r="Q90" s="165" t="s">
        <v>25</v>
      </c>
      <c r="R90" s="165" t="s">
        <v>759</v>
      </c>
      <c r="S90" s="162">
        <v>2030</v>
      </c>
      <c r="T90" s="166">
        <v>47572</v>
      </c>
      <c r="U90" s="167">
        <v>0.79</v>
      </c>
      <c r="V90" s="167">
        <v>0.20999999999999996</v>
      </c>
      <c r="W90" s="168">
        <f t="shared" si="34"/>
        <v>1</v>
      </c>
      <c r="X90" s="167">
        <v>0.05</v>
      </c>
      <c r="Y90" s="167">
        <v>0</v>
      </c>
      <c r="Z90" s="167">
        <v>6.8000000000000005E-2</v>
      </c>
      <c r="AA90" s="169">
        <v>0.19800000000000001</v>
      </c>
      <c r="AB90" s="167"/>
      <c r="AC90" s="170">
        <v>201305</v>
      </c>
      <c r="AD90" s="166"/>
      <c r="AE90" s="160">
        <f t="shared" si="36"/>
        <v>0</v>
      </c>
      <c r="AF90" s="169">
        <f t="shared" si="37"/>
        <v>0</v>
      </c>
      <c r="AG90" s="171">
        <f t="shared" si="38"/>
        <v>21.793536</v>
      </c>
      <c r="AH90" s="160">
        <v>108</v>
      </c>
      <c r="AI90" s="160">
        <v>192</v>
      </c>
      <c r="AJ90" s="160">
        <v>1051</v>
      </c>
      <c r="AK90" s="160">
        <v>480</v>
      </c>
      <c r="AL90" s="171">
        <f t="shared" si="39"/>
        <v>96.860159999999993</v>
      </c>
      <c r="AM90" s="171">
        <f t="shared" si="40"/>
        <v>76.519526400000004</v>
      </c>
      <c r="AN90" s="172">
        <f t="shared" si="41"/>
        <v>92160</v>
      </c>
      <c r="AO90" s="172">
        <f t="shared" si="42"/>
        <v>20736</v>
      </c>
      <c r="AP90" s="173">
        <f t="shared" si="43"/>
        <v>0.79</v>
      </c>
      <c r="AQ90" s="174">
        <f t="shared" si="44"/>
        <v>3.5111111111111115</v>
      </c>
    </row>
    <row r="91" spans="1:16374" s="15" customFormat="1" ht="12.5">
      <c r="A91" s="156" t="s">
        <v>417</v>
      </c>
      <c r="B91" s="156" t="s">
        <v>192</v>
      </c>
      <c r="C91" s="157" t="s">
        <v>320</v>
      </c>
      <c r="D91" s="158">
        <v>1</v>
      </c>
      <c r="E91" s="159" t="s">
        <v>740</v>
      </c>
      <c r="F91" s="160"/>
      <c r="G91" s="161">
        <v>2121</v>
      </c>
      <c r="H91" s="160"/>
      <c r="I91" s="160"/>
      <c r="J91" s="162">
        <v>147</v>
      </c>
      <c r="K91" s="163" t="s">
        <v>22</v>
      </c>
      <c r="L91" s="163" t="s">
        <v>39</v>
      </c>
      <c r="M91" s="162" t="s">
        <v>567</v>
      </c>
      <c r="N91" s="163" t="s">
        <v>808</v>
      </c>
      <c r="O91" s="163" t="s">
        <v>761</v>
      </c>
      <c r="P91" s="164">
        <v>4800000</v>
      </c>
      <c r="Q91" s="165" t="s">
        <v>25</v>
      </c>
      <c r="R91" s="165" t="s">
        <v>759</v>
      </c>
      <c r="S91" s="162">
        <v>2026</v>
      </c>
      <c r="T91" s="166">
        <v>46387</v>
      </c>
      <c r="U91" s="167">
        <v>1</v>
      </c>
      <c r="V91" s="167"/>
      <c r="W91" s="168">
        <f t="shared" si="34"/>
        <v>1</v>
      </c>
      <c r="X91" s="167"/>
      <c r="Y91" s="167"/>
      <c r="Z91" s="167"/>
      <c r="AA91" s="169">
        <v>0.19800000000000001</v>
      </c>
      <c r="AB91" s="167"/>
      <c r="AC91" s="170">
        <f t="shared" ref="AC91:AC92" si="45">AI91*AJ91</f>
        <v>268937.01</v>
      </c>
      <c r="AD91" s="166"/>
      <c r="AE91" s="160">
        <f t="shared" si="36"/>
        <v>4.8</v>
      </c>
      <c r="AF91" s="169">
        <f t="shared" si="37"/>
        <v>2.7458531589294403E-2</v>
      </c>
      <c r="AG91" s="171">
        <f t="shared" si="38"/>
        <v>35.795516031000005</v>
      </c>
      <c r="AH91" s="160">
        <v>133.1</v>
      </c>
      <c r="AI91" s="160">
        <v>279.27</v>
      </c>
      <c r="AJ91" s="160">
        <v>963</v>
      </c>
      <c r="AK91" s="160">
        <v>650</v>
      </c>
      <c r="AL91" s="171">
        <f t="shared" si="39"/>
        <v>174.8090565</v>
      </c>
      <c r="AM91" s="171">
        <f t="shared" si="40"/>
        <v>174.8090565</v>
      </c>
      <c r="AN91" s="172">
        <f t="shared" si="41"/>
        <v>181525.5</v>
      </c>
      <c r="AO91" s="172">
        <f t="shared" si="42"/>
        <v>37170.837</v>
      </c>
      <c r="AP91" s="173">
        <f t="shared" si="43"/>
        <v>1</v>
      </c>
      <c r="AQ91" s="174">
        <f t="shared" si="44"/>
        <v>4.3061173644525264</v>
      </c>
    </row>
    <row r="92" spans="1:16374" s="15" customFormat="1" ht="12.5">
      <c r="A92" s="156" t="s">
        <v>417</v>
      </c>
      <c r="B92" s="156" t="s">
        <v>809</v>
      </c>
      <c r="C92" s="157" t="s">
        <v>320</v>
      </c>
      <c r="D92" s="158">
        <v>1</v>
      </c>
      <c r="E92" s="159" t="s">
        <v>740</v>
      </c>
      <c r="F92" s="160"/>
      <c r="G92" s="161">
        <v>2121</v>
      </c>
      <c r="H92" s="160"/>
      <c r="I92" s="160"/>
      <c r="J92" s="162">
        <v>148</v>
      </c>
      <c r="K92" s="163" t="s">
        <v>22</v>
      </c>
      <c r="L92" s="163" t="s">
        <v>39</v>
      </c>
      <c r="M92" s="162" t="s">
        <v>567</v>
      </c>
      <c r="N92" s="163" t="s">
        <v>810</v>
      </c>
      <c r="O92" s="163" t="s">
        <v>761</v>
      </c>
      <c r="P92" s="164">
        <v>4800000</v>
      </c>
      <c r="Q92" s="165" t="s">
        <v>25</v>
      </c>
      <c r="R92" s="165" t="s">
        <v>759</v>
      </c>
      <c r="S92" s="162">
        <v>2027</v>
      </c>
      <c r="T92" s="166">
        <v>46752</v>
      </c>
      <c r="U92" s="167">
        <v>1</v>
      </c>
      <c r="V92" s="167"/>
      <c r="W92" s="168">
        <f t="shared" si="34"/>
        <v>1</v>
      </c>
      <c r="X92" s="167"/>
      <c r="Y92" s="167"/>
      <c r="Z92" s="167"/>
      <c r="AA92" s="169">
        <v>0.19800000000000001</v>
      </c>
      <c r="AB92" s="167"/>
      <c r="AC92" s="170">
        <f t="shared" si="45"/>
        <v>269216.27999999997</v>
      </c>
      <c r="AD92" s="166"/>
      <c r="AE92" s="160">
        <f t="shared" si="36"/>
        <v>4.8</v>
      </c>
      <c r="AF92" s="169">
        <f t="shared" si="37"/>
        <v>2.7430047635363601E-2</v>
      </c>
      <c r="AG92" s="171">
        <f t="shared" si="38"/>
        <v>35.832686868000003</v>
      </c>
      <c r="AH92" s="160">
        <v>133.1</v>
      </c>
      <c r="AI92" s="160">
        <v>279.27</v>
      </c>
      <c r="AJ92" s="160">
        <v>964</v>
      </c>
      <c r="AK92" s="160">
        <v>650</v>
      </c>
      <c r="AL92" s="171">
        <f t="shared" si="39"/>
        <v>174.99058199999999</v>
      </c>
      <c r="AM92" s="171">
        <f t="shared" si="40"/>
        <v>174.99058199999999</v>
      </c>
      <c r="AN92" s="172">
        <f t="shared" si="41"/>
        <v>181525.5</v>
      </c>
      <c r="AO92" s="172">
        <f t="shared" si="42"/>
        <v>37170.837</v>
      </c>
      <c r="AP92" s="173">
        <f t="shared" si="43"/>
        <v>1</v>
      </c>
      <c r="AQ92" s="174">
        <f t="shared" si="44"/>
        <v>4.3066455971390027</v>
      </c>
    </row>
    <row r="93" spans="1:16374" s="15" customFormat="1" ht="12.5">
      <c r="A93" s="156" t="s">
        <v>456</v>
      </c>
      <c r="B93" s="156" t="s">
        <v>643</v>
      </c>
      <c r="C93" s="157" t="s">
        <v>382</v>
      </c>
      <c r="D93" s="158">
        <v>1</v>
      </c>
      <c r="E93" s="159" t="s">
        <v>740</v>
      </c>
      <c r="F93" s="160"/>
      <c r="G93" s="161">
        <v>2278</v>
      </c>
      <c r="H93" s="160"/>
      <c r="I93" s="160"/>
      <c r="J93" s="162">
        <v>230</v>
      </c>
      <c r="K93" s="163" t="s">
        <v>103</v>
      </c>
      <c r="L93" s="163" t="s">
        <v>582</v>
      </c>
      <c r="M93" s="162" t="s">
        <v>574</v>
      </c>
      <c r="N93" s="163" t="s">
        <v>47</v>
      </c>
      <c r="O93" s="163" t="s">
        <v>760</v>
      </c>
      <c r="P93" s="164">
        <v>0</v>
      </c>
      <c r="Q93" s="165" t="s">
        <v>25</v>
      </c>
      <c r="R93" s="165" t="s">
        <v>26</v>
      </c>
      <c r="S93" s="162">
        <v>2033</v>
      </c>
      <c r="T93" s="166">
        <v>48944</v>
      </c>
      <c r="U93" s="167">
        <v>0.59585500000000002</v>
      </c>
      <c r="V93" s="167">
        <v>0.35</v>
      </c>
      <c r="W93" s="168">
        <f t="shared" ref="W93:W94" si="46">SUM(U93:V93)</f>
        <v>0.945855</v>
      </c>
      <c r="X93" s="167">
        <v>0.05</v>
      </c>
      <c r="Y93" s="167">
        <v>9.0000000000000011E-2</v>
      </c>
      <c r="Z93" s="167">
        <v>6.8000000000000005E-2</v>
      </c>
      <c r="AA93" s="169">
        <v>0.19800000000000001</v>
      </c>
      <c r="AB93" s="167">
        <v>5.4144999999999999E-2</v>
      </c>
      <c r="AC93" s="170">
        <f t="shared" ref="AC93:AC94" si="47">AI93*AJ93</f>
        <v>220800</v>
      </c>
      <c r="AD93" s="166"/>
      <c r="AE93" s="160">
        <f t="shared" ref="AE93:AE94" si="48">P93/10^6</f>
        <v>0</v>
      </c>
      <c r="AF93" s="169">
        <f t="shared" ref="AF93:AF94" si="49">IF(AL93=0,0,AE93/AL93)</f>
        <v>0</v>
      </c>
      <c r="AG93" s="171">
        <f t="shared" ref="AG93:AG94" si="50">(AH93*AI93*AJ93)/10^6</f>
        <v>35.990400000000001</v>
      </c>
      <c r="AH93" s="160">
        <v>163</v>
      </c>
      <c r="AI93" s="160">
        <v>276</v>
      </c>
      <c r="AJ93" s="160">
        <v>800</v>
      </c>
      <c r="AK93" s="160">
        <v>650</v>
      </c>
      <c r="AL93" s="171">
        <f t="shared" ref="AL93:AL94" si="51">(AK93*AJ93*AI93)/10^6</f>
        <v>143.52000000000001</v>
      </c>
      <c r="AM93" s="171">
        <f t="shared" ref="AM93:AM94" si="52">AL93*U93</f>
        <v>85.517109600000012</v>
      </c>
      <c r="AN93" s="172">
        <f t="shared" ref="AN93:AN94" si="53">AI93*AK93</f>
        <v>179400</v>
      </c>
      <c r="AO93" s="172">
        <f t="shared" ref="AO93:AO94" si="54">AH93*AI93</f>
        <v>44988</v>
      </c>
      <c r="AP93" s="173">
        <f t="shared" ref="AP93:AP94" si="55">U93+AB93</f>
        <v>0.65</v>
      </c>
      <c r="AQ93" s="174">
        <f t="shared" ref="AQ93:AQ94" si="56">AL93*AP93/(AG93+AE93)</f>
        <v>2.592024539877301</v>
      </c>
    </row>
    <row r="94" spans="1:16374" s="15" customFormat="1" ht="12.5">
      <c r="A94" s="156" t="s">
        <v>456</v>
      </c>
      <c r="B94" s="156" t="s">
        <v>639</v>
      </c>
      <c r="C94" s="157" t="s">
        <v>382</v>
      </c>
      <c r="D94" s="158">
        <v>1</v>
      </c>
      <c r="E94" s="159" t="s">
        <v>740</v>
      </c>
      <c r="F94" s="160"/>
      <c r="G94" s="161">
        <v>2278</v>
      </c>
      <c r="H94" s="160"/>
      <c r="I94" s="160"/>
      <c r="J94" s="162">
        <v>226</v>
      </c>
      <c r="K94" s="163" t="s">
        <v>103</v>
      </c>
      <c r="L94" s="163" t="s">
        <v>582</v>
      </c>
      <c r="M94" s="162" t="s">
        <v>574</v>
      </c>
      <c r="N94" s="163" t="s">
        <v>102</v>
      </c>
      <c r="O94" s="163" t="s">
        <v>760</v>
      </c>
      <c r="P94" s="164">
        <v>0</v>
      </c>
      <c r="Q94" s="165" t="s">
        <v>25</v>
      </c>
      <c r="R94" s="165" t="s">
        <v>759</v>
      </c>
      <c r="S94" s="162">
        <v>2029</v>
      </c>
      <c r="T94" s="166">
        <v>47483</v>
      </c>
      <c r="U94" s="167">
        <v>0.59585500000000002</v>
      </c>
      <c r="V94" s="167">
        <v>0.35</v>
      </c>
      <c r="W94" s="168">
        <f t="shared" si="46"/>
        <v>0.945855</v>
      </c>
      <c r="X94" s="167">
        <v>0.05</v>
      </c>
      <c r="Y94" s="167">
        <v>9.0000000000000011E-2</v>
      </c>
      <c r="Z94" s="167">
        <v>6.8000000000000005E-2</v>
      </c>
      <c r="AA94" s="169">
        <v>0.19800000000000001</v>
      </c>
      <c r="AB94" s="167">
        <v>5.4144999999999999E-2</v>
      </c>
      <c r="AC94" s="170">
        <f t="shared" si="47"/>
        <v>202308</v>
      </c>
      <c r="AD94" s="166"/>
      <c r="AE94" s="160">
        <f t="shared" si="48"/>
        <v>0</v>
      </c>
      <c r="AF94" s="169">
        <f t="shared" si="49"/>
        <v>0</v>
      </c>
      <c r="AG94" s="171">
        <f t="shared" si="50"/>
        <v>32.976204000000003</v>
      </c>
      <c r="AH94" s="160">
        <v>163</v>
      </c>
      <c r="AI94" s="160">
        <v>276</v>
      </c>
      <c r="AJ94" s="160">
        <v>733</v>
      </c>
      <c r="AK94" s="160">
        <v>715</v>
      </c>
      <c r="AL94" s="171">
        <f t="shared" si="51"/>
        <v>144.65021999999999</v>
      </c>
      <c r="AM94" s="171">
        <f t="shared" si="52"/>
        <v>86.190556838099994</v>
      </c>
      <c r="AN94" s="172">
        <f t="shared" si="53"/>
        <v>197340</v>
      </c>
      <c r="AO94" s="172">
        <f t="shared" si="54"/>
        <v>44988</v>
      </c>
      <c r="AP94" s="173">
        <f t="shared" si="55"/>
        <v>0.65</v>
      </c>
      <c r="AQ94" s="174">
        <f t="shared" si="56"/>
        <v>2.8512269938650303</v>
      </c>
    </row>
    <row r="95" spans="1:16374" s="15" customFormat="1" ht="12.5">
      <c r="A95" s="156" t="s">
        <v>466</v>
      </c>
      <c r="B95" s="156" t="s">
        <v>267</v>
      </c>
      <c r="C95" s="157" t="s">
        <v>376</v>
      </c>
      <c r="D95" s="158">
        <v>1</v>
      </c>
      <c r="E95" s="159" t="s">
        <v>740</v>
      </c>
      <c r="F95" s="160"/>
      <c r="G95" s="161">
        <v>2286</v>
      </c>
      <c r="H95" s="160"/>
      <c r="I95" s="160"/>
      <c r="J95" s="162">
        <v>254</v>
      </c>
      <c r="K95" s="163" t="s">
        <v>103</v>
      </c>
      <c r="L95" s="163" t="s">
        <v>124</v>
      </c>
      <c r="M95" s="162" t="s">
        <v>583</v>
      </c>
      <c r="N95" s="163" t="s">
        <v>49</v>
      </c>
      <c r="O95" s="163" t="s">
        <v>760</v>
      </c>
      <c r="P95" s="164">
        <v>0</v>
      </c>
      <c r="Q95" s="165" t="s">
        <v>25</v>
      </c>
      <c r="R95" s="165" t="s">
        <v>26</v>
      </c>
      <c r="S95" s="162">
        <v>2034</v>
      </c>
      <c r="T95" s="166">
        <v>49125</v>
      </c>
      <c r="U95" s="167">
        <v>0.45</v>
      </c>
      <c r="V95" s="167">
        <v>0.5</v>
      </c>
      <c r="W95" s="168">
        <f t="shared" ref="W95" si="57">SUM(U95:V95)</f>
        <v>0.95</v>
      </c>
      <c r="X95" s="167">
        <v>0.05</v>
      </c>
      <c r="Y95" s="167">
        <v>9.0000000000000011E-2</v>
      </c>
      <c r="Z95" s="167">
        <v>6.8000000000000005E-2</v>
      </c>
      <c r="AA95" s="169">
        <v>0.19800000000000001</v>
      </c>
      <c r="AB95" s="167">
        <v>5.0000000000000044E-2</v>
      </c>
      <c r="AC95" s="170">
        <f t="shared" ref="AC95" si="58">AI95*AJ95</f>
        <v>308574.72199999995</v>
      </c>
      <c r="AD95" s="166"/>
      <c r="AE95" s="160">
        <f t="shared" ref="AE95" si="59">P95/10^6</f>
        <v>0</v>
      </c>
      <c r="AF95" s="169">
        <f t="shared" ref="AF95" si="60">IF(AL95=0,0,AE95/AL95)</f>
        <v>0</v>
      </c>
      <c r="AG95" s="171">
        <f t="shared" ref="AG95" si="61">(AH95*AI95*AJ95)/10^6</f>
        <v>50.297679685999995</v>
      </c>
      <c r="AH95" s="160">
        <v>163</v>
      </c>
      <c r="AI95" s="160">
        <v>299.00651356589145</v>
      </c>
      <c r="AJ95" s="160">
        <v>1032</v>
      </c>
      <c r="AK95" s="160">
        <v>805</v>
      </c>
      <c r="AL95" s="171">
        <f>(AK95*AJ95*AI95)/10^6</f>
        <v>248.40265120999999</v>
      </c>
      <c r="AM95" s="171">
        <f t="shared" ref="AM95" si="62">AL95*U95</f>
        <v>111.7811930445</v>
      </c>
      <c r="AN95" s="172">
        <f t="shared" ref="AN95" si="63">AI95*AK95</f>
        <v>240700.24342054263</v>
      </c>
      <c r="AO95" s="172">
        <f t="shared" ref="AO95" si="64">AH95*AI95</f>
        <v>48738.061711240305</v>
      </c>
      <c r="AP95" s="173">
        <f t="shared" ref="AP95" si="65">U95+AB95</f>
        <v>0.5</v>
      </c>
      <c r="AQ95" s="174">
        <f t="shared" ref="AQ95" si="66">AL95*AP95/(AG95+AE95)</f>
        <v>2.4693251533742333</v>
      </c>
    </row>
    <row r="96" spans="1:16374" s="15" customFormat="1" ht="12.5">
      <c r="A96" s="156" t="s">
        <v>459</v>
      </c>
      <c r="B96" s="156" t="s">
        <v>647</v>
      </c>
      <c r="C96" s="157" t="s">
        <v>380</v>
      </c>
      <c r="D96" s="158">
        <v>1</v>
      </c>
      <c r="E96" s="159" t="s">
        <v>739</v>
      </c>
      <c r="F96" s="160"/>
      <c r="G96" s="161">
        <v>2642</v>
      </c>
      <c r="H96" s="160"/>
      <c r="I96" s="160"/>
      <c r="J96" s="162">
        <v>237</v>
      </c>
      <c r="K96" s="163" t="s">
        <v>103</v>
      </c>
      <c r="L96" s="163" t="s">
        <v>117</v>
      </c>
      <c r="M96" s="162" t="s">
        <v>574</v>
      </c>
      <c r="N96" s="163" t="s">
        <v>24</v>
      </c>
      <c r="O96" s="163" t="s">
        <v>760</v>
      </c>
      <c r="P96" s="164">
        <v>0</v>
      </c>
      <c r="Q96" s="165" t="s">
        <v>25</v>
      </c>
      <c r="R96" s="165" t="s">
        <v>26</v>
      </c>
      <c r="S96" s="162">
        <v>2029</v>
      </c>
      <c r="T96" s="166">
        <v>47483</v>
      </c>
      <c r="U96" s="167">
        <v>0.59585500000000002</v>
      </c>
      <c r="V96" s="167">
        <v>0.35</v>
      </c>
      <c r="W96" s="168">
        <f>SUM(U96:V96)</f>
        <v>0.945855</v>
      </c>
      <c r="X96" s="167">
        <v>0.05</v>
      </c>
      <c r="Y96" s="167">
        <v>9.0000000000000011E-2</v>
      </c>
      <c r="Z96" s="167">
        <v>6.8000000000000005E-2</v>
      </c>
      <c r="AA96" s="169">
        <v>0.19800000000000001</v>
      </c>
      <c r="AB96" s="167">
        <v>5.4144999999999999E-2</v>
      </c>
      <c r="AC96" s="170">
        <f>AI96*AJ96</f>
        <v>260596</v>
      </c>
      <c r="AD96" s="166"/>
      <c r="AE96" s="160">
        <f>P96/10^6</f>
        <v>0</v>
      </c>
      <c r="AF96" s="169">
        <f>IF(AL96=0,0,AE96/AL96)</f>
        <v>0</v>
      </c>
      <c r="AG96" s="171">
        <f>(AH96*AI96*AJ96)/10^6</f>
        <v>42.477148</v>
      </c>
      <c r="AH96" s="160">
        <v>163</v>
      </c>
      <c r="AI96" s="160">
        <v>227</v>
      </c>
      <c r="AJ96" s="160">
        <v>1148</v>
      </c>
      <c r="AK96" s="160">
        <v>650</v>
      </c>
      <c r="AL96" s="171">
        <f>(AK96*AJ96*AI96)/10^6</f>
        <v>169.38740000000001</v>
      </c>
      <c r="AM96" s="171">
        <f>AL96*U96</f>
        <v>100.93032922700002</v>
      </c>
      <c r="AN96" s="172">
        <f>AI96*AK96</f>
        <v>147550</v>
      </c>
      <c r="AO96" s="172">
        <f>AH96*AI96</f>
        <v>37001</v>
      </c>
      <c r="AP96" s="173">
        <f>U96+AB96</f>
        <v>0.65</v>
      </c>
      <c r="AQ96" s="174">
        <f>AL96*AP96/(AG96+AE96)</f>
        <v>2.592024539877301</v>
      </c>
    </row>
    <row r="97" spans="1:43" hidden="1"/>
    <row r="98" spans="1:43" s="15" customFormat="1" ht="12.5">
      <c r="A98" s="156" t="s">
        <v>471</v>
      </c>
      <c r="B98" s="156" t="s">
        <v>273</v>
      </c>
      <c r="C98" s="157" t="s">
        <v>372</v>
      </c>
      <c r="D98" s="158">
        <v>1</v>
      </c>
      <c r="E98" s="159" t="s">
        <v>740</v>
      </c>
      <c r="F98" s="160"/>
      <c r="G98" s="161">
        <v>2281</v>
      </c>
      <c r="H98" s="160"/>
      <c r="I98" s="160"/>
      <c r="J98" s="162">
        <v>260</v>
      </c>
      <c r="K98" s="163" t="s">
        <v>103</v>
      </c>
      <c r="L98" s="163" t="s">
        <v>125</v>
      </c>
      <c r="M98" s="162" t="s">
        <v>583</v>
      </c>
      <c r="N98" s="163" t="s">
        <v>131</v>
      </c>
      <c r="O98" s="163" t="s">
        <v>760</v>
      </c>
      <c r="P98" s="164">
        <v>0</v>
      </c>
      <c r="Q98" s="165" t="s">
        <v>25</v>
      </c>
      <c r="R98" s="165" t="s">
        <v>26</v>
      </c>
      <c r="S98" s="162">
        <v>2031</v>
      </c>
      <c r="T98" s="166">
        <v>48121</v>
      </c>
      <c r="U98" s="167">
        <v>0.65085700000000002</v>
      </c>
      <c r="V98" s="167">
        <v>0.29000000000000004</v>
      </c>
      <c r="W98" s="168">
        <f>SUM(U98:V98)</f>
        <v>0.94085700000000005</v>
      </c>
      <c r="X98" s="167">
        <v>0.05</v>
      </c>
      <c r="Y98" s="167">
        <v>9.0000000000000011E-2</v>
      </c>
      <c r="Z98" s="167">
        <v>6.8000000000000005E-2</v>
      </c>
      <c r="AA98" s="169">
        <v>0.19800000000000001</v>
      </c>
      <c r="AB98" s="167">
        <v>5.9142999999999946E-2</v>
      </c>
      <c r="AC98" s="170">
        <f>AI98*AJ98</f>
        <v>153158.75</v>
      </c>
      <c r="AD98" s="166"/>
      <c r="AE98" s="160">
        <f>P98/10^6</f>
        <v>0</v>
      </c>
      <c r="AF98" s="169">
        <f>IF(AL98=0,0,AE98/AL98)</f>
        <v>0</v>
      </c>
      <c r="AG98" s="171">
        <f>(AH98*AI98*AJ98)/10^6</f>
        <v>24.964876249999996</v>
      </c>
      <c r="AH98" s="160">
        <v>163</v>
      </c>
      <c r="AI98" s="160">
        <v>160.04049111807731</v>
      </c>
      <c r="AJ98" s="160">
        <v>957</v>
      </c>
      <c r="AK98" s="160">
        <v>600</v>
      </c>
      <c r="AL98" s="171">
        <f>(AK98*AJ98*AI98)/10^6</f>
        <v>91.895250000000004</v>
      </c>
      <c r="AM98" s="171">
        <f>AL98*U98</f>
        <v>59.810666729250002</v>
      </c>
      <c r="AN98" s="172">
        <f t="shared" ref="AN98" si="67">AI98*AK98</f>
        <v>96024.294670846386</v>
      </c>
      <c r="AO98" s="172">
        <f>AH98*AI98</f>
        <v>26086.600052246602</v>
      </c>
      <c r="AP98" s="173">
        <f>U98+AB98</f>
        <v>0.71</v>
      </c>
      <c r="AQ98" s="174">
        <f t="shared" ref="AQ98" si="68">AL98*AP98/(AG98+AE98)</f>
        <v>2.6134969325153379</v>
      </c>
    </row>
    <row r="99" spans="1:43" s="15" customFormat="1" ht="12.5">
      <c r="A99" s="156" t="s">
        <v>506</v>
      </c>
      <c r="B99" s="156" t="s">
        <v>701</v>
      </c>
      <c r="C99" s="157" t="s">
        <v>26</v>
      </c>
      <c r="D99" s="158">
        <v>1</v>
      </c>
      <c r="E99" s="159" t="s">
        <v>740</v>
      </c>
      <c r="F99" s="160"/>
      <c r="G99" s="161">
        <v>2390</v>
      </c>
      <c r="H99" s="160"/>
      <c r="I99" s="160"/>
      <c r="J99" s="162">
        <v>325</v>
      </c>
      <c r="K99" s="163" t="s">
        <v>143</v>
      </c>
      <c r="L99" s="163" t="s">
        <v>158</v>
      </c>
      <c r="M99" s="162" t="s">
        <v>585</v>
      </c>
      <c r="N99" s="163" t="s">
        <v>589</v>
      </c>
      <c r="O99" s="163" t="s">
        <v>760</v>
      </c>
      <c r="P99" s="164">
        <v>0</v>
      </c>
      <c r="Q99" s="165" t="s">
        <v>25</v>
      </c>
      <c r="R99" s="165" t="s">
        <v>26</v>
      </c>
      <c r="S99" s="162">
        <v>2029</v>
      </c>
      <c r="T99" s="166">
        <v>47483</v>
      </c>
      <c r="U99" s="167">
        <v>0.59199999999999997</v>
      </c>
      <c r="V99" s="167">
        <v>0.26</v>
      </c>
      <c r="W99" s="168">
        <f t="shared" ref="W99" si="69">SUM(U99:V99)</f>
        <v>0.85199999999999998</v>
      </c>
      <c r="X99" s="167">
        <v>7.0000000000000007E-2</v>
      </c>
      <c r="Y99" s="167">
        <v>9.5000000000000001E-2</v>
      </c>
      <c r="Z99" s="167">
        <v>6.8000000000000005E-2</v>
      </c>
      <c r="AA99" s="169">
        <v>0.19800000000000001</v>
      </c>
      <c r="AB99" s="167">
        <v>0.14800000000000002</v>
      </c>
      <c r="AC99" s="170">
        <f t="shared" ref="AC99" si="70">AI99*AJ99</f>
        <v>190000</v>
      </c>
      <c r="AD99" s="166"/>
      <c r="AE99" s="160">
        <f t="shared" ref="AE99" si="71">P99/10^6</f>
        <v>0</v>
      </c>
      <c r="AF99" s="169">
        <f t="shared" ref="AF99" si="72">IF(AL99=0,0,AE99/AL99)</f>
        <v>0</v>
      </c>
      <c r="AG99" s="171">
        <f t="shared" ref="AG99" si="73">(AH99*AI99*AJ99)/10^6</f>
        <v>33.250000000000007</v>
      </c>
      <c r="AH99" s="160">
        <v>175</v>
      </c>
      <c r="AI99" s="160">
        <v>179.92424242424244</v>
      </c>
      <c r="AJ99" s="160">
        <v>1056</v>
      </c>
      <c r="AK99" s="160">
        <v>550</v>
      </c>
      <c r="AL99" s="171">
        <f t="shared" ref="AL99" si="74">(AK99*AJ99*AI99)/10^6</f>
        <v>104.5</v>
      </c>
      <c r="AM99" s="171">
        <f t="shared" ref="AM99" si="75">AL99*U99</f>
        <v>61.863999999999997</v>
      </c>
      <c r="AN99" s="172">
        <f t="shared" ref="AN99" si="76">AI99*AK99</f>
        <v>98958.333333333343</v>
      </c>
      <c r="AO99" s="172">
        <f t="shared" ref="AO99" si="77">AH99*AI99</f>
        <v>31486.742424242428</v>
      </c>
      <c r="AP99" s="173">
        <f t="shared" ref="AP99" si="78">U99+AB99</f>
        <v>0.74</v>
      </c>
      <c r="AQ99" s="174">
        <f t="shared" ref="AQ99" si="79">AL99*AP99/(AG99+AE99)</f>
        <v>2.3257142857142852</v>
      </c>
    </row>
    <row r="134" spans="1:147" s="59" customFormat="1" ht="12.5">
      <c r="A134" s="62" t="s">
        <v>464</v>
      </c>
      <c r="B134" s="62" t="s">
        <v>630</v>
      </c>
      <c r="C134" s="63" t="s">
        <v>377</v>
      </c>
      <c r="D134" s="64">
        <v>1</v>
      </c>
      <c r="E134" s="65" t="s">
        <v>740</v>
      </c>
      <c r="F134" s="61"/>
      <c r="G134" s="66">
        <v>2277</v>
      </c>
      <c r="H134" s="61"/>
      <c r="I134" s="61"/>
      <c r="J134" s="60">
        <v>243</v>
      </c>
      <c r="K134" s="77" t="s">
        <v>103</v>
      </c>
      <c r="L134" s="77" t="s">
        <v>120</v>
      </c>
      <c r="M134" s="78" t="s">
        <v>583</v>
      </c>
      <c r="N134" s="77" t="s">
        <v>122</v>
      </c>
      <c r="O134" s="77" t="s">
        <v>760</v>
      </c>
      <c r="P134" s="79">
        <v>0</v>
      </c>
      <c r="Q134" s="80" t="s">
        <v>25</v>
      </c>
      <c r="R134" s="80" t="s">
        <v>26</v>
      </c>
      <c r="S134" s="78">
        <v>2035</v>
      </c>
      <c r="T134" s="81">
        <v>49673</v>
      </c>
      <c r="U134" s="82">
        <v>0.55000000000000004</v>
      </c>
      <c r="V134" s="82">
        <v>0.40001999999999993</v>
      </c>
      <c r="W134" s="83">
        <v>0.95001999999999998</v>
      </c>
      <c r="X134" s="82">
        <v>0.05</v>
      </c>
      <c r="Y134" s="82">
        <v>9.0000000000000011E-2</v>
      </c>
      <c r="Z134" s="82">
        <v>6.8000000000000005E-2</v>
      </c>
      <c r="AA134" s="84">
        <v>0.19800000000000001</v>
      </c>
      <c r="AB134" s="82">
        <v>4.9980000000000024E-2</v>
      </c>
      <c r="AC134" s="85">
        <v>315000</v>
      </c>
      <c r="AD134" s="81"/>
      <c r="AE134" s="86">
        <v>0</v>
      </c>
      <c r="AF134" s="84">
        <v>0</v>
      </c>
      <c r="AG134" s="87">
        <v>51.344999999999999</v>
      </c>
      <c r="AH134" s="86">
        <v>163</v>
      </c>
      <c r="AI134" s="86">
        <v>210</v>
      </c>
      <c r="AJ134" s="86">
        <v>1500</v>
      </c>
      <c r="AK134" s="86">
        <v>550</v>
      </c>
      <c r="AL134" s="87">
        <v>173.25</v>
      </c>
      <c r="AM134" s="87">
        <v>95.287500000000009</v>
      </c>
      <c r="AN134" s="88">
        <v>115500</v>
      </c>
      <c r="AO134" s="88">
        <v>34230</v>
      </c>
      <c r="AP134" s="89">
        <v>0.59998000000000007</v>
      </c>
      <c r="AQ134" s="90">
        <v>2.024472392638037</v>
      </c>
      <c r="AR134" s="91" t="s">
        <v>783</v>
      </c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</row>
    <row r="135" spans="1:147" s="59" customFormat="1" ht="12.5">
      <c r="A135" s="103" t="s">
        <v>464</v>
      </c>
      <c r="B135" s="103" t="s">
        <v>631</v>
      </c>
      <c r="C135" s="104" t="s">
        <v>377</v>
      </c>
      <c r="D135" s="33">
        <v>1</v>
      </c>
      <c r="E135" s="34" t="s">
        <v>740</v>
      </c>
      <c r="F135" s="35"/>
      <c r="G135" s="36">
        <v>2277</v>
      </c>
      <c r="H135" s="35"/>
      <c r="I135" s="35"/>
      <c r="J135" s="37">
        <v>244</v>
      </c>
      <c r="K135" s="105" t="s">
        <v>103</v>
      </c>
      <c r="L135" s="105" t="s">
        <v>120</v>
      </c>
      <c r="M135" s="106" t="s">
        <v>583</v>
      </c>
      <c r="N135" s="105" t="s">
        <v>123</v>
      </c>
      <c r="O135" s="105" t="s">
        <v>760</v>
      </c>
      <c r="P135" s="107">
        <v>0</v>
      </c>
      <c r="Q135" s="108" t="s">
        <v>25</v>
      </c>
      <c r="R135" s="108" t="s">
        <v>26</v>
      </c>
      <c r="S135" s="106">
        <v>2037</v>
      </c>
      <c r="T135" s="109">
        <v>50404</v>
      </c>
      <c r="U135" s="110">
        <v>0.55000000000000004</v>
      </c>
      <c r="V135" s="110">
        <v>0.40001999999999993</v>
      </c>
      <c r="W135" s="111">
        <v>0.95001999999999998</v>
      </c>
      <c r="X135" s="110">
        <v>0.05</v>
      </c>
      <c r="Y135" s="110">
        <v>9.0000000000000011E-2</v>
      </c>
      <c r="Z135" s="110">
        <v>6.8000000000000005E-2</v>
      </c>
      <c r="AA135" s="112">
        <v>0.19800000000000001</v>
      </c>
      <c r="AB135" s="110">
        <v>4.9980000000000024E-2</v>
      </c>
      <c r="AC135" s="113">
        <v>315000</v>
      </c>
      <c r="AD135" s="109"/>
      <c r="AE135" s="114">
        <v>0</v>
      </c>
      <c r="AF135" s="112">
        <v>0</v>
      </c>
      <c r="AG135" s="115">
        <v>51.344999999999999</v>
      </c>
      <c r="AH135" s="114">
        <v>163</v>
      </c>
      <c r="AI135" s="114">
        <v>210</v>
      </c>
      <c r="AJ135" s="114">
        <v>1500</v>
      </c>
      <c r="AK135" s="114">
        <v>550</v>
      </c>
      <c r="AL135" s="115">
        <v>173.25</v>
      </c>
      <c r="AM135" s="115">
        <v>95.287500000000009</v>
      </c>
      <c r="AN135" s="116">
        <v>115500</v>
      </c>
      <c r="AO135" s="116">
        <v>34230</v>
      </c>
      <c r="AP135" s="117">
        <v>0.59998000000000007</v>
      </c>
      <c r="AQ135" s="118">
        <v>2.024472392638037</v>
      </c>
      <c r="AR135" s="119" t="s">
        <v>783</v>
      </c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</row>
    <row r="136" spans="1:147" s="120" customFormat="1" ht="12.5">
      <c r="A136" s="62" t="s">
        <v>464</v>
      </c>
      <c r="B136" s="62" t="s">
        <v>634</v>
      </c>
      <c r="C136" s="63" t="s">
        <v>377</v>
      </c>
      <c r="D136" s="64">
        <v>1</v>
      </c>
      <c r="E136" s="65" t="s">
        <v>740</v>
      </c>
      <c r="F136" s="61"/>
      <c r="G136" s="66">
        <v>2277</v>
      </c>
      <c r="H136" s="61"/>
      <c r="I136" s="61"/>
      <c r="J136" s="60">
        <v>245</v>
      </c>
      <c r="K136" s="77" t="s">
        <v>103</v>
      </c>
      <c r="L136" s="77" t="s">
        <v>120</v>
      </c>
      <c r="M136" s="78" t="s">
        <v>583</v>
      </c>
      <c r="N136" s="77" t="s">
        <v>802</v>
      </c>
      <c r="O136" s="77" t="s">
        <v>760</v>
      </c>
      <c r="P136" s="79">
        <v>0</v>
      </c>
      <c r="Q136" s="80" t="s">
        <v>25</v>
      </c>
      <c r="R136" s="80" t="s">
        <v>26</v>
      </c>
      <c r="S136" s="78">
        <v>2039</v>
      </c>
      <c r="T136" s="81">
        <v>51134</v>
      </c>
      <c r="U136" s="82">
        <v>0.55000000000000004</v>
      </c>
      <c r="V136" s="82">
        <v>0.40001999999999993</v>
      </c>
      <c r="W136" s="83">
        <v>0.95001999999999998</v>
      </c>
      <c r="X136" s="82">
        <v>0.05</v>
      </c>
      <c r="Y136" s="82">
        <v>9.0000000000000011E-2</v>
      </c>
      <c r="Z136" s="82">
        <v>6.8000000000000005E-2</v>
      </c>
      <c r="AA136" s="84">
        <v>0.19800000000000001</v>
      </c>
      <c r="AB136" s="82">
        <v>4.9980000000000024E-2</v>
      </c>
      <c r="AC136" s="85">
        <v>315000</v>
      </c>
      <c r="AD136" s="81"/>
      <c r="AE136" s="86">
        <v>0</v>
      </c>
      <c r="AF136" s="84">
        <v>0</v>
      </c>
      <c r="AG136" s="87">
        <v>51.344999999999999</v>
      </c>
      <c r="AH136" s="86">
        <v>163</v>
      </c>
      <c r="AI136" s="86">
        <v>210</v>
      </c>
      <c r="AJ136" s="86">
        <v>1500</v>
      </c>
      <c r="AK136" s="86">
        <v>550</v>
      </c>
      <c r="AL136" s="87">
        <v>173.25</v>
      </c>
      <c r="AM136" s="87">
        <v>95.287500000000009</v>
      </c>
      <c r="AN136" s="88">
        <v>115500</v>
      </c>
      <c r="AO136" s="88">
        <v>34230</v>
      </c>
      <c r="AP136" s="89">
        <v>0.59998000000000007</v>
      </c>
      <c r="AQ136" s="90">
        <v>2.024472392638037</v>
      </c>
      <c r="AR136" s="91" t="s">
        <v>783</v>
      </c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</row>
    <row r="137" spans="1:147" s="59" customFormat="1" ht="12.5">
      <c r="A137" s="103" t="s">
        <v>464</v>
      </c>
      <c r="B137" s="103" t="s">
        <v>635</v>
      </c>
      <c r="C137" s="104" t="s">
        <v>377</v>
      </c>
      <c r="D137" s="33">
        <v>1</v>
      </c>
      <c r="E137" s="34" t="s">
        <v>740</v>
      </c>
      <c r="F137" s="35"/>
      <c r="G137" s="36">
        <v>2277</v>
      </c>
      <c r="H137" s="35"/>
      <c r="I137" s="35"/>
      <c r="J137" s="37">
        <v>246</v>
      </c>
      <c r="K137" s="105" t="s">
        <v>103</v>
      </c>
      <c r="L137" s="105" t="s">
        <v>120</v>
      </c>
      <c r="M137" s="106" t="s">
        <v>583</v>
      </c>
      <c r="N137" s="105" t="s">
        <v>803</v>
      </c>
      <c r="O137" s="105" t="s">
        <v>760</v>
      </c>
      <c r="P137" s="107">
        <v>0</v>
      </c>
      <c r="Q137" s="108" t="s">
        <v>25</v>
      </c>
      <c r="R137" s="108" t="s">
        <v>26</v>
      </c>
      <c r="S137" s="106">
        <v>2041</v>
      </c>
      <c r="T137" s="109">
        <v>51865</v>
      </c>
      <c r="U137" s="110">
        <v>0.55000000000000004</v>
      </c>
      <c r="V137" s="110">
        <v>0.40001999999999993</v>
      </c>
      <c r="W137" s="111">
        <v>0.95001999999999998</v>
      </c>
      <c r="X137" s="110">
        <v>0.05</v>
      </c>
      <c r="Y137" s="110">
        <v>9.0000000000000011E-2</v>
      </c>
      <c r="Z137" s="110">
        <v>6.8000000000000005E-2</v>
      </c>
      <c r="AA137" s="112">
        <v>0.19800000000000001</v>
      </c>
      <c r="AB137" s="110">
        <v>4.9980000000000024E-2</v>
      </c>
      <c r="AC137" s="113">
        <v>315000</v>
      </c>
      <c r="AD137" s="109"/>
      <c r="AE137" s="114">
        <v>0</v>
      </c>
      <c r="AF137" s="112">
        <v>0</v>
      </c>
      <c r="AG137" s="115">
        <v>51.344999999999999</v>
      </c>
      <c r="AH137" s="114">
        <v>163</v>
      </c>
      <c r="AI137" s="114">
        <v>210</v>
      </c>
      <c r="AJ137" s="114">
        <v>1500</v>
      </c>
      <c r="AK137" s="114">
        <v>550</v>
      </c>
      <c r="AL137" s="115">
        <v>173.25</v>
      </c>
      <c r="AM137" s="115">
        <v>95.287500000000009</v>
      </c>
      <c r="AN137" s="116">
        <v>115500</v>
      </c>
      <c r="AO137" s="116">
        <v>34230</v>
      </c>
      <c r="AP137" s="117">
        <v>0.59998000000000007</v>
      </c>
      <c r="AQ137" s="118">
        <v>2.024472392638037</v>
      </c>
      <c r="AR137" s="119" t="s">
        <v>783</v>
      </c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</row>
    <row r="138" spans="1:147" s="59" customFormat="1" ht="12.5">
      <c r="A138" s="62" t="s">
        <v>464</v>
      </c>
      <c r="B138" s="62" t="s">
        <v>636</v>
      </c>
      <c r="C138" s="63" t="s">
        <v>377</v>
      </c>
      <c r="D138" s="64">
        <v>1</v>
      </c>
      <c r="E138" s="65" t="s">
        <v>740</v>
      </c>
      <c r="F138" s="61"/>
      <c r="G138" s="66">
        <v>2277</v>
      </c>
      <c r="H138" s="61"/>
      <c r="I138" s="61"/>
      <c r="J138" s="60">
        <v>247</v>
      </c>
      <c r="K138" s="77" t="s">
        <v>103</v>
      </c>
      <c r="L138" s="77" t="s">
        <v>120</v>
      </c>
      <c r="M138" s="78" t="s">
        <v>583</v>
      </c>
      <c r="N138" s="77" t="s">
        <v>804</v>
      </c>
      <c r="O138" s="77" t="s">
        <v>760</v>
      </c>
      <c r="P138" s="79">
        <v>0</v>
      </c>
      <c r="Q138" s="80" t="s">
        <v>25</v>
      </c>
      <c r="R138" s="80" t="s">
        <v>26</v>
      </c>
      <c r="S138" s="78">
        <v>2043</v>
      </c>
      <c r="T138" s="81">
        <v>52595</v>
      </c>
      <c r="U138" s="82">
        <v>0.55000000000000004</v>
      </c>
      <c r="V138" s="82">
        <v>0.40001999999999993</v>
      </c>
      <c r="W138" s="83">
        <v>0.95001999999999998</v>
      </c>
      <c r="X138" s="82">
        <v>0.05</v>
      </c>
      <c r="Y138" s="82">
        <v>9.0000000000000011E-2</v>
      </c>
      <c r="Z138" s="82">
        <v>6.8000000000000005E-2</v>
      </c>
      <c r="AA138" s="84">
        <v>0.19800000000000001</v>
      </c>
      <c r="AB138" s="82">
        <v>4.9980000000000024E-2</v>
      </c>
      <c r="AC138" s="85">
        <v>315000</v>
      </c>
      <c r="AD138" s="81"/>
      <c r="AE138" s="86">
        <v>0</v>
      </c>
      <c r="AF138" s="84">
        <v>0</v>
      </c>
      <c r="AG138" s="87">
        <v>51.344999999999999</v>
      </c>
      <c r="AH138" s="86">
        <v>163</v>
      </c>
      <c r="AI138" s="86">
        <v>210</v>
      </c>
      <c r="AJ138" s="86">
        <v>1500</v>
      </c>
      <c r="AK138" s="86">
        <v>550</v>
      </c>
      <c r="AL138" s="87">
        <v>173.25</v>
      </c>
      <c r="AM138" s="87">
        <v>95.287500000000009</v>
      </c>
      <c r="AN138" s="88">
        <v>115500</v>
      </c>
      <c r="AO138" s="88">
        <v>34230</v>
      </c>
      <c r="AP138" s="89">
        <v>0.59998000000000007</v>
      </c>
      <c r="AQ138" s="90">
        <v>2.024472392638037</v>
      </c>
      <c r="AR138" s="91" t="s">
        <v>783</v>
      </c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</row>
    <row r="139" spans="1:147" s="59" customFormat="1" ht="12.5">
      <c r="A139" s="103" t="s">
        <v>464</v>
      </c>
      <c r="B139" s="103" t="s">
        <v>637</v>
      </c>
      <c r="C139" s="104" t="s">
        <v>377</v>
      </c>
      <c r="D139" s="33">
        <v>1</v>
      </c>
      <c r="E139" s="34" t="s">
        <v>740</v>
      </c>
      <c r="F139" s="35"/>
      <c r="G139" s="36">
        <v>2277</v>
      </c>
      <c r="H139" s="35"/>
      <c r="I139" s="35"/>
      <c r="J139" s="37">
        <v>248</v>
      </c>
      <c r="K139" s="105" t="s">
        <v>103</v>
      </c>
      <c r="L139" s="105" t="s">
        <v>120</v>
      </c>
      <c r="M139" s="106" t="s">
        <v>583</v>
      </c>
      <c r="N139" s="105" t="s">
        <v>805</v>
      </c>
      <c r="O139" s="105" t="s">
        <v>760</v>
      </c>
      <c r="P139" s="107">
        <v>0</v>
      </c>
      <c r="Q139" s="108" t="s">
        <v>25</v>
      </c>
      <c r="R139" s="108" t="s">
        <v>26</v>
      </c>
      <c r="S139" s="106">
        <v>2045</v>
      </c>
      <c r="T139" s="109">
        <v>53326</v>
      </c>
      <c r="U139" s="110">
        <v>0.55000000000000004</v>
      </c>
      <c r="V139" s="110">
        <v>0.40001999999999993</v>
      </c>
      <c r="W139" s="111">
        <v>0.95001999999999998</v>
      </c>
      <c r="X139" s="110">
        <v>0.05</v>
      </c>
      <c r="Y139" s="110">
        <v>9.0000000000000011E-2</v>
      </c>
      <c r="Z139" s="110">
        <v>6.8000000000000005E-2</v>
      </c>
      <c r="AA139" s="112">
        <v>0.19800000000000001</v>
      </c>
      <c r="AB139" s="110">
        <v>4.9980000000000024E-2</v>
      </c>
      <c r="AC139" s="113">
        <v>315000</v>
      </c>
      <c r="AD139" s="109"/>
      <c r="AE139" s="114">
        <v>0</v>
      </c>
      <c r="AF139" s="112">
        <v>0</v>
      </c>
      <c r="AG139" s="115">
        <v>51.344999999999999</v>
      </c>
      <c r="AH139" s="114">
        <v>163</v>
      </c>
      <c r="AI139" s="114">
        <v>210</v>
      </c>
      <c r="AJ139" s="114">
        <v>1500</v>
      </c>
      <c r="AK139" s="114">
        <v>550</v>
      </c>
      <c r="AL139" s="115">
        <v>173.25</v>
      </c>
      <c r="AM139" s="115">
        <v>95.287500000000009</v>
      </c>
      <c r="AN139" s="116">
        <v>115500</v>
      </c>
      <c r="AO139" s="116">
        <v>34230</v>
      </c>
      <c r="AP139" s="117">
        <v>0.59998000000000007</v>
      </c>
      <c r="AQ139" s="118">
        <v>2.024472392638037</v>
      </c>
      <c r="AR139" s="119" t="s">
        <v>783</v>
      </c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</row>
    <row r="140" spans="1:147" s="120" customFormat="1" ht="12.5">
      <c r="A140" s="103" t="s">
        <v>464</v>
      </c>
      <c r="B140" s="103" t="s">
        <v>629</v>
      </c>
      <c r="C140" s="104" t="s">
        <v>377</v>
      </c>
      <c r="D140" s="33">
        <v>1</v>
      </c>
      <c r="E140" s="34" t="s">
        <v>740</v>
      </c>
      <c r="F140" s="35"/>
      <c r="G140" s="36">
        <v>2277</v>
      </c>
      <c r="H140" s="35"/>
      <c r="I140" s="35"/>
      <c r="J140" s="37">
        <v>242</v>
      </c>
      <c r="K140" s="105" t="s">
        <v>103</v>
      </c>
      <c r="L140" s="105" t="s">
        <v>120</v>
      </c>
      <c r="M140" s="106" t="s">
        <v>583</v>
      </c>
      <c r="N140" s="105" t="s">
        <v>806</v>
      </c>
      <c r="O140" s="105" t="s">
        <v>760</v>
      </c>
      <c r="P140" s="107">
        <v>0</v>
      </c>
      <c r="Q140" s="108" t="s">
        <v>25</v>
      </c>
      <c r="R140" s="108" t="s">
        <v>26</v>
      </c>
      <c r="S140" s="106">
        <v>2033</v>
      </c>
      <c r="T140" s="109">
        <v>48943</v>
      </c>
      <c r="U140" s="110">
        <v>0.55000000000000004</v>
      </c>
      <c r="V140" s="110">
        <v>0.40001999999999993</v>
      </c>
      <c r="W140" s="111">
        <v>0.95001999999999998</v>
      </c>
      <c r="X140" s="110">
        <v>0.05</v>
      </c>
      <c r="Y140" s="110">
        <v>9.0000000000000011E-2</v>
      </c>
      <c r="Z140" s="110">
        <v>6.8000000000000005E-2</v>
      </c>
      <c r="AA140" s="112">
        <v>0.19800000000000001</v>
      </c>
      <c r="AB140" s="110">
        <v>4.9980000000000024E-2</v>
      </c>
      <c r="AC140" s="113">
        <v>315000</v>
      </c>
      <c r="AD140" s="109"/>
      <c r="AE140" s="114">
        <v>0</v>
      </c>
      <c r="AF140" s="112">
        <v>0</v>
      </c>
      <c r="AG140" s="115">
        <v>51.344999999999999</v>
      </c>
      <c r="AH140" s="114">
        <v>163</v>
      </c>
      <c r="AI140" s="114">
        <v>210</v>
      </c>
      <c r="AJ140" s="114">
        <v>1500</v>
      </c>
      <c r="AK140" s="114">
        <v>550</v>
      </c>
      <c r="AL140" s="115">
        <v>173.25</v>
      </c>
      <c r="AM140" s="115">
        <v>95.287500000000009</v>
      </c>
      <c r="AN140" s="116">
        <v>115500</v>
      </c>
      <c r="AO140" s="116">
        <v>34230</v>
      </c>
      <c r="AP140" s="117">
        <v>0.59998000000000007</v>
      </c>
      <c r="AQ140" s="118">
        <v>2.024472392638037</v>
      </c>
      <c r="AR140" s="119" t="s">
        <v>783</v>
      </c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</row>
  </sheetData>
  <hyperlinks>
    <hyperlink ref="C32" r:id="rId1" xr:uid="{1D0D91EC-3933-4B7E-B1A0-BEFFA067EA2D}"/>
    <hyperlink ref="C30" r:id="rId2" display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xr:uid="{1CB46A62-CD4C-4FF4-8561-A132149C82FE}"/>
    <hyperlink ref="C53" r:id="rId3" xr:uid="{5816A84D-2931-4D0D-B87B-3ABFFF565D08}"/>
    <hyperlink ref="C71" r:id="rId4" display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xr:uid="{046D092D-F252-4181-9FCE-42DB3E9C9442}"/>
    <hyperlink ref="C60" r:id="rId5" xr:uid="{F22B29FD-053A-43F2-8A21-B094E498F72E}"/>
    <hyperlink ref="C68" r:id="rId6" display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xr:uid="{FD53D1BA-8837-4BF0-A63C-9135EB9AC0FF}"/>
    <hyperlink ref="C45" r:id="rId7" display="https://earth.google.com/web/search/Rio+Water+Planet+-+Vargem+Grande,+Rio+de+Janeiro+-+RJ/@-22.97932476,-43.48761622,7.82165637a,1689.89378841d,35y,0h,0t,0r/data=CiwiJgokCTgPgsbnOzDAEf3Z-ywSUjbAGak7SsebOEDAIc0sY3wO7EbAQgIIAToDCgEwQgIIAEoICJfn8a8FEAA?authuser=0" xr:uid="{730668BD-2E69-427E-AFDD-B9CC5D15D3E7}"/>
    <hyperlink ref="C26" r:id="rId8" xr:uid="{DFB1A41B-F8C8-4959-837A-5CC7D6163FE5}"/>
    <hyperlink ref="C91" r:id="rId9" xr:uid="{280D6889-124C-4EE6-8B78-4AF9953425AC}"/>
  </hyperlinks>
  <pageMargins left="0.511811024" right="0.511811024" top="0.78740157499999996" bottom="0.78740157499999996" header="0.31496062000000002" footer="0.31496062000000002"/>
  <drawing r:id="rId10"/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212A-2AF2-4754-9778-C2E7D620D331}">
  <dimension ref="A4:R4"/>
  <sheetViews>
    <sheetView showGridLines="0" workbookViewId="0">
      <selection activeCell="E18" sqref="E18"/>
    </sheetView>
  </sheetViews>
  <sheetFormatPr defaultRowHeight="14.5"/>
  <cols>
    <col min="1" max="1" width="10.36328125" customWidth="1"/>
    <col min="2" max="2" width="9" customWidth="1"/>
    <col min="3" max="3" width="7.90625" customWidth="1"/>
    <col min="4" max="4" width="17.90625" customWidth="1"/>
    <col min="7" max="7" width="20.36328125" customWidth="1"/>
    <col min="8" max="8" width="18.453125" customWidth="1"/>
    <col min="9" max="9" width="35" bestFit="1" customWidth="1"/>
    <col min="10" max="10" width="29.1796875" customWidth="1"/>
    <col min="11" max="11" width="14.36328125" customWidth="1"/>
    <col min="12" max="12" width="16.26953125" customWidth="1"/>
    <col min="13" max="13" width="16.1796875" bestFit="1" customWidth="1"/>
    <col min="14" max="14" width="23.1796875" customWidth="1"/>
    <col min="15" max="15" width="18.1796875" customWidth="1"/>
    <col min="16" max="16" width="24" customWidth="1"/>
    <col min="17" max="17" width="21.26953125" bestFit="1" customWidth="1"/>
    <col min="18" max="18" width="21.54296875" bestFit="1" customWidth="1"/>
  </cols>
  <sheetData>
    <row r="4" spans="1:18" s="135" customFormat="1" ht="26.5" customHeight="1">
      <c r="A4" s="136" t="s">
        <v>2</v>
      </c>
      <c r="B4" s="136" t="s">
        <v>3</v>
      </c>
      <c r="C4" s="136" t="s">
        <v>566</v>
      </c>
      <c r="D4" s="136" t="s">
        <v>4</v>
      </c>
      <c r="E4" s="136" t="s">
        <v>5</v>
      </c>
      <c r="F4" s="136" t="s">
        <v>6</v>
      </c>
      <c r="G4" s="136" t="s">
        <v>13</v>
      </c>
      <c r="H4" s="136" t="s">
        <v>7</v>
      </c>
      <c r="I4" s="136" t="s">
        <v>763</v>
      </c>
      <c r="J4" s="136" t="s">
        <v>8</v>
      </c>
      <c r="K4" s="136" t="s">
        <v>532</v>
      </c>
      <c r="L4" s="136" t="s">
        <v>18</v>
      </c>
      <c r="M4" s="136" t="s">
        <v>531</v>
      </c>
      <c r="N4" s="136" t="s">
        <v>533</v>
      </c>
      <c r="O4" s="136" t="s">
        <v>19</v>
      </c>
      <c r="P4" s="136" t="s">
        <v>534</v>
      </c>
      <c r="Q4" s="136" t="s">
        <v>20</v>
      </c>
      <c r="R4" s="136" t="s">
        <v>21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F11F-08DB-49C9-A870-04968454306F}">
  <dimension ref="B1:R91"/>
  <sheetViews>
    <sheetView topLeftCell="A3" workbookViewId="0">
      <selection activeCell="B11" sqref="B11:C11"/>
    </sheetView>
  </sheetViews>
  <sheetFormatPr defaultRowHeight="14.5"/>
  <cols>
    <col min="2" max="2" width="9.81640625" bestFit="1" customWidth="1"/>
    <col min="3" max="3" width="11.7265625" customWidth="1"/>
    <col min="7" max="7" width="23.453125" bestFit="1" customWidth="1"/>
    <col min="10" max="10" width="2.54296875" customWidth="1"/>
    <col min="11" max="11" width="27.1796875" customWidth="1"/>
    <col min="12" max="12" width="23.453125" bestFit="1" customWidth="1"/>
    <col min="13" max="14" width="8.7265625" style="1"/>
    <col min="16" max="16" width="21.1796875" bestFit="1" customWidth="1"/>
  </cols>
  <sheetData>
    <row r="1" spans="2:18">
      <c r="G1">
        <f>COUNTA(_xlfn.ANCHORARRAY(G4))</f>
        <v>76</v>
      </c>
      <c r="H1">
        <f>COUNTA(_xlfn.ANCHORARRAY(H4))</f>
        <v>18</v>
      </c>
    </row>
    <row r="2" spans="2:18" ht="18.5">
      <c r="B2" s="7" t="s">
        <v>745</v>
      </c>
      <c r="G2" s="1">
        <f>G1-1</f>
        <v>75</v>
      </c>
      <c r="H2" s="1">
        <f>H1-1</f>
        <v>17</v>
      </c>
    </row>
    <row r="3" spans="2:18">
      <c r="G3" t="s">
        <v>750</v>
      </c>
      <c r="H3" t="s">
        <v>751</v>
      </c>
    </row>
    <row r="4" spans="2:18">
      <c r="B4" t="s">
        <v>706</v>
      </c>
      <c r="G4" t="str" cm="1">
        <f t="array" ref="G4:G79">_xlfn.UNIQUE(AREAS!L4:L1048576)</f>
        <v>BELA VISTA DE GOIÁS</v>
      </c>
      <c r="H4" t="str" cm="1">
        <f t="array" ref="H4:H21">_xlfn.UNIQUE(AREAS!M4:M1048576)</f>
        <v>GO</v>
      </c>
      <c r="J4" s="2"/>
      <c r="L4" s="1">
        <f>COUNTA(L6:L77)</f>
        <v>72</v>
      </c>
    </row>
    <row r="5" spans="2:18">
      <c r="B5" s="268">
        <f>COUNTA(AREAS!N4:N162)</f>
        <v>159</v>
      </c>
      <c r="C5" s="268"/>
      <c r="G5" t="str">
        <v>GOIÂNIA</v>
      </c>
      <c r="H5" t="str">
        <v>AL</v>
      </c>
      <c r="J5" s="2"/>
      <c r="L5" s="5" t="s">
        <v>3</v>
      </c>
      <c r="M5" s="5" t="s">
        <v>707</v>
      </c>
      <c r="N5" s="5" t="s">
        <v>705</v>
      </c>
      <c r="P5" s="3" t="s">
        <v>23</v>
      </c>
      <c r="Q5" s="4">
        <f>COUNTIF(AREAS!L:L,Planilha2!P5)</f>
        <v>0</v>
      </c>
      <c r="R5" s="4" t="str">
        <f>_xlfn.XLOOKUP(P5,AREAS!L:L,AREAS!D:D,"não")</f>
        <v>não</v>
      </c>
    </row>
    <row r="6" spans="2:18">
      <c r="G6" t="str">
        <v>MARECHAL DEODORO</v>
      </c>
      <c r="H6" t="str">
        <v>CE</v>
      </c>
      <c r="K6" s="6" t="s">
        <v>160</v>
      </c>
      <c r="L6" t="s">
        <v>27</v>
      </c>
      <c r="M6" s="1">
        <f>COUNTIF(AREAS!L:L,Planilha2!L6)</f>
        <v>2</v>
      </c>
      <c r="N6" s="1">
        <f>_xlfn.XLOOKUP(L6,AREAS!L:L,AREAS!D:D,"não")</f>
        <v>1</v>
      </c>
      <c r="P6" s="3" t="s">
        <v>30</v>
      </c>
      <c r="Q6" s="4">
        <v>5</v>
      </c>
      <c r="R6" s="4">
        <v>0</v>
      </c>
    </row>
    <row r="7" spans="2:18">
      <c r="B7" t="s">
        <v>746</v>
      </c>
      <c r="C7" t="s">
        <v>747</v>
      </c>
      <c r="G7" t="str">
        <v>RIO LARGO</v>
      </c>
      <c r="H7" t="str">
        <v>MA</v>
      </c>
      <c r="K7" s="6" t="s">
        <v>82</v>
      </c>
      <c r="L7" t="s">
        <v>137</v>
      </c>
      <c r="M7" s="1">
        <f>COUNTIF(AREAS!L:L,Planilha2!L7)</f>
        <v>0</v>
      </c>
      <c r="N7" s="1" t="str">
        <f>_xlfn.XLOOKUP(L7,AREAS!L:L,AREAS!D:D,"não")</f>
        <v>não</v>
      </c>
      <c r="P7" s="3" t="s">
        <v>138</v>
      </c>
      <c r="Q7" s="4">
        <f>COUNTIF(AREAS!L:L,Planilha2!P7)</f>
        <v>2</v>
      </c>
      <c r="R7" s="4">
        <f>_xlfn.XLOOKUP(P7,AREAS!L:L,AREAS!D:D,"não")</f>
        <v>0</v>
      </c>
    </row>
    <row r="8" spans="2:18">
      <c r="B8" s="8">
        <f>G2</f>
        <v>75</v>
      </c>
      <c r="C8" s="9">
        <f>H2</f>
        <v>17</v>
      </c>
      <c r="G8" t="str">
        <v>PENEDO</v>
      </c>
      <c r="H8" t="str">
        <v>PA</v>
      </c>
      <c r="K8" s="6" t="s">
        <v>84</v>
      </c>
      <c r="L8" t="s">
        <v>584</v>
      </c>
      <c r="M8" s="1">
        <f>COUNTIF(AREAS!L:L,Planilha2!L8)</f>
        <v>9</v>
      </c>
      <c r="N8" s="1">
        <f>_xlfn.XLOOKUP(L8,AREAS!L:L,AREAS!D:D,"não")</f>
        <v>1</v>
      </c>
    </row>
    <row r="9" spans="2:18">
      <c r="G9" t="str">
        <v>CRATO</v>
      </c>
      <c r="H9" t="str">
        <v>MT</v>
      </c>
      <c r="K9" s="6" t="s">
        <v>88</v>
      </c>
      <c r="L9" t="s">
        <v>120</v>
      </c>
      <c r="M9" s="1">
        <f>COUNTIF(AREAS!L:L,Planilha2!L9)</f>
        <v>0</v>
      </c>
      <c r="N9" s="1" t="str">
        <f>_xlfn.XLOOKUP(L9,AREAS!L:L,AREAS!D:D,"não")</f>
        <v>não</v>
      </c>
    </row>
    <row r="10" spans="2:18">
      <c r="B10" s="266" t="s">
        <v>19</v>
      </c>
      <c r="C10" s="266"/>
      <c r="G10" t="str">
        <v>ITAPIPOCA</v>
      </c>
      <c r="H10" t="str">
        <v>RJ</v>
      </c>
      <c r="K10" s="6" t="s">
        <v>86</v>
      </c>
      <c r="L10" t="s">
        <v>37</v>
      </c>
      <c r="M10" s="1">
        <f>COUNTIF(AREAS!L:L,Planilha2!L10)</f>
        <v>2</v>
      </c>
      <c r="N10" s="1">
        <f>_xlfn.XLOOKUP(L10,AREAS!L:L,AREAS!D:D,"não")</f>
        <v>1</v>
      </c>
    </row>
    <row r="11" spans="2:18">
      <c r="B11" s="267">
        <f>SUM(AREAS!AJ4:AJ162)</f>
        <v>142807.08699696971</v>
      </c>
      <c r="C11" s="267"/>
      <c r="G11" t="str">
        <v>BALSAS</v>
      </c>
      <c r="H11" t="str">
        <v>SP</v>
      </c>
      <c r="K11" s="6" t="s">
        <v>708</v>
      </c>
      <c r="L11" t="s">
        <v>39</v>
      </c>
      <c r="M11" s="1">
        <f>COUNTIF(AREAS!L:L,Planilha2!L11)</f>
        <v>3</v>
      </c>
      <c r="N11" s="1">
        <f>_xlfn.XLOOKUP(L11,AREAS!L:L,AREAS!D:D,"não")</f>
        <v>1</v>
      </c>
    </row>
    <row r="12" spans="2:18">
      <c r="G12" t="str">
        <v>SANTARÉM</v>
      </c>
      <c r="H12" t="str">
        <v>RS</v>
      </c>
      <c r="K12" s="6" t="s">
        <v>709</v>
      </c>
      <c r="L12" t="s">
        <v>42</v>
      </c>
      <c r="M12" s="1">
        <f>COUNTIF(AREAS!L:L,Planilha2!L12)</f>
        <v>1</v>
      </c>
      <c r="N12" s="1">
        <f>_xlfn.XLOOKUP(L12,AREAS!L:L,AREAS!D:D,"não")</f>
        <v>1</v>
      </c>
    </row>
    <row r="13" spans="2:18">
      <c r="B13" t="s">
        <v>748</v>
      </c>
      <c r="G13" t="str">
        <v>XINGUARA</v>
      </c>
      <c r="H13" t="str">
        <v>PR</v>
      </c>
      <c r="K13" s="6" t="s">
        <v>78</v>
      </c>
      <c r="L13" t="s">
        <v>44</v>
      </c>
      <c r="M13" s="1">
        <f>COUNTIF(AREAS!L:L,Planilha2!L13)</f>
        <v>7</v>
      </c>
      <c r="N13" s="1">
        <f>_xlfn.XLOOKUP(L13,AREAS!L:L,AREAS!D:D,"não")</f>
        <v>1</v>
      </c>
    </row>
    <row r="14" spans="2:18">
      <c r="B14" s="10">
        <f>SUM(AREAS!AC4:AC162)</f>
        <v>38094125.778454773</v>
      </c>
      <c r="C14" s="11">
        <f>B14/10000</f>
        <v>3809.4125778454772</v>
      </c>
      <c r="G14" t="str">
        <v>CÁCERES</v>
      </c>
      <c r="H14" t="str">
        <v>TO</v>
      </c>
      <c r="K14" s="6" t="s">
        <v>94</v>
      </c>
      <c r="L14" t="s">
        <v>52</v>
      </c>
      <c r="M14" s="1">
        <f>COUNTIF(AREAS!L:L,Planilha2!L14)</f>
        <v>1</v>
      </c>
      <c r="N14" s="1">
        <f>_xlfn.XLOOKUP(L14,AREAS!L:L,AREAS!D:D,"não")</f>
        <v>1</v>
      </c>
    </row>
    <row r="15" spans="2:18">
      <c r="G15" t="str">
        <v>DUQUE DE CAXIAS</v>
      </c>
      <c r="H15" t="str">
        <v>RO</v>
      </c>
      <c r="K15" s="6" t="s">
        <v>96</v>
      </c>
      <c r="L15" t="s">
        <v>54</v>
      </c>
      <c r="M15" s="1">
        <f>COUNTIF(AREAS!L:L,Planilha2!L15)</f>
        <v>25</v>
      </c>
      <c r="N15" s="1">
        <f>_xlfn.XLOOKUP(L15,AREAS!L:L,AREAS!D:D,"não")</f>
        <v>1</v>
      </c>
    </row>
    <row r="16" spans="2:18">
      <c r="B16" t="s">
        <v>752</v>
      </c>
      <c r="G16" t="str">
        <v>AVARÉ</v>
      </c>
      <c r="H16" t="str">
        <v>SE</v>
      </c>
      <c r="K16" s="6" t="s">
        <v>98</v>
      </c>
      <c r="L16" t="s">
        <v>78</v>
      </c>
      <c r="M16" s="1">
        <f>COUNTIF(AREAS!L:L,Planilha2!L16)</f>
        <v>2</v>
      </c>
      <c r="N16" s="1">
        <f>_xlfn.XLOOKUP(L16,AREAS!L:L,AREAS!D:D,"não")</f>
        <v>1</v>
      </c>
    </row>
    <row r="17" spans="2:14">
      <c r="B17" s="269">
        <f>SUM(AREAS!AL4:AL162)</f>
        <v>25095.922356568917</v>
      </c>
      <c r="C17" s="270"/>
      <c r="G17" t="str">
        <v>PORTO ALEGRE</v>
      </c>
      <c r="H17" t="str">
        <v>AC</v>
      </c>
      <c r="K17" s="6" t="s">
        <v>107</v>
      </c>
      <c r="L17" t="s">
        <v>79</v>
      </c>
      <c r="M17" s="1">
        <f>COUNTIF(AREAS!L:L,Planilha2!L17)</f>
        <v>3</v>
      </c>
      <c r="N17" s="1">
        <f>_xlfn.XLOOKUP(L17,AREAS!L:L,AREAS!D:D,"não")</f>
        <v>1</v>
      </c>
    </row>
    <row r="18" spans="2:14">
      <c r="B18" t="s">
        <v>749</v>
      </c>
      <c r="G18" t="str">
        <v>SANTA CRUZ DO SUL</v>
      </c>
      <c r="H18" t="str">
        <v>ES</v>
      </c>
      <c r="K18" s="6" t="s">
        <v>564</v>
      </c>
      <c r="L18" t="s">
        <v>82</v>
      </c>
      <c r="M18" s="1">
        <f>COUNTIF(AREAS!L:L,Planilha2!L18)</f>
        <v>1</v>
      </c>
      <c r="N18" s="1">
        <f>_xlfn.XLOOKUP(L18,AREAS!L:L,AREAS!D:D,"não")</f>
        <v>1</v>
      </c>
    </row>
    <row r="19" spans="2:14">
      <c r="B19" s="267">
        <f>SUM(AREAS!AM4:AM162)</f>
        <v>16785.63489088304</v>
      </c>
      <c r="C19" s="267"/>
      <c r="G19" t="str">
        <v>SÃO LEOPOLDO</v>
      </c>
      <c r="H19" t="str">
        <v>MG</v>
      </c>
      <c r="K19" s="6" t="s">
        <v>562</v>
      </c>
      <c r="L19" t="s">
        <v>84</v>
      </c>
      <c r="M19" s="1">
        <f>COUNTIF(AREAS!L:L,Planilha2!L19)</f>
        <v>2</v>
      </c>
      <c r="N19" s="1">
        <f>_xlfn.XLOOKUP(L19,AREAS!L:L,AREAS!D:D,"não")</f>
        <v>1</v>
      </c>
    </row>
    <row r="20" spans="2:14">
      <c r="G20" t="str">
        <v>CAXIAS DO SUL</v>
      </c>
      <c r="H20" t="str">
        <v>BA</v>
      </c>
      <c r="K20" s="6" t="s">
        <v>79</v>
      </c>
      <c r="L20" t="s">
        <v>86</v>
      </c>
      <c r="M20" s="1">
        <f>COUNTIF(AREAS!L:L,Planilha2!L20)</f>
        <v>1</v>
      </c>
      <c r="N20" s="1">
        <f>_xlfn.XLOOKUP(L20,AREAS!L:L,AREAS!D:D,"não")</f>
        <v>1</v>
      </c>
    </row>
    <row r="21" spans="2:14">
      <c r="G21" t="str">
        <v>VIAMÃO</v>
      </c>
      <c r="H21">
        <v>0</v>
      </c>
      <c r="K21" s="6" t="s">
        <v>182</v>
      </c>
      <c r="L21" t="s">
        <v>88</v>
      </c>
      <c r="M21" s="1">
        <f>COUNTIF(AREAS!L:L,Planilha2!L21)</f>
        <v>1</v>
      </c>
      <c r="N21" s="1">
        <f>_xlfn.XLOOKUP(L21,AREAS!L:L,AREAS!D:D,"não")</f>
        <v>1</v>
      </c>
    </row>
    <row r="22" spans="2:14">
      <c r="G22" t="str">
        <v>PELOTAS</v>
      </c>
      <c r="K22" s="6" t="s">
        <v>547</v>
      </c>
      <c r="L22" t="s">
        <v>89</v>
      </c>
      <c r="M22" s="1">
        <f>COUNTIF(AREAS!L:L,Planilha2!L22)</f>
        <v>1</v>
      </c>
      <c r="N22" s="1">
        <f>_xlfn.XLOOKUP(L22,AREAS!L:L,AREAS!D:D,"não")</f>
        <v>1</v>
      </c>
    </row>
    <row r="23" spans="2:14">
      <c r="G23" t="str">
        <v>GUARAPUAVA</v>
      </c>
      <c r="K23" s="6" t="s">
        <v>710</v>
      </c>
      <c r="L23" t="s">
        <v>91</v>
      </c>
      <c r="M23" s="1">
        <f>COUNTIF(AREAS!L:L,Planilha2!L23)</f>
        <v>1</v>
      </c>
      <c r="N23" s="1">
        <f>_xlfn.XLOOKUP(L23,AREAS!L:L,AREAS!D:D,"não")</f>
        <v>1</v>
      </c>
    </row>
    <row r="24" spans="2:14">
      <c r="G24" t="str">
        <v>PALMAS</v>
      </c>
      <c r="K24" s="6" t="s">
        <v>711</v>
      </c>
      <c r="L24" t="s">
        <v>94</v>
      </c>
      <c r="M24" s="1">
        <f>COUNTIF(AREAS!L:L,Planilha2!L24)</f>
        <v>1</v>
      </c>
      <c r="N24" s="1">
        <f>_xlfn.XLOOKUP(L24,AREAS!L:L,AREAS!D:D,"não")</f>
        <v>1</v>
      </c>
    </row>
    <row r="25" spans="2:14">
      <c r="G25" t="str">
        <v>FORMOSA</v>
      </c>
      <c r="K25" s="6" t="s">
        <v>712</v>
      </c>
      <c r="L25" t="s">
        <v>96</v>
      </c>
      <c r="M25" s="1">
        <f>COUNTIF(AREAS!L:L,Planilha2!L25)</f>
        <v>2</v>
      </c>
      <c r="N25" s="1">
        <f>_xlfn.XLOOKUP(L25,AREAS!L:L,AREAS!D:D,"não")</f>
        <v>1</v>
      </c>
    </row>
    <row r="26" spans="2:14">
      <c r="G26" t="str">
        <v>LUZIMANGUES</v>
      </c>
      <c r="K26" s="6" t="s">
        <v>101</v>
      </c>
      <c r="L26" t="s">
        <v>98</v>
      </c>
      <c r="M26" s="1">
        <f>COUNTIF(AREAS!L:L,Planilha2!L26)</f>
        <v>1</v>
      </c>
      <c r="N26" s="1">
        <f>_xlfn.XLOOKUP(L26,AREAS!L:L,AREAS!D:D,"não")</f>
        <v>1</v>
      </c>
    </row>
    <row r="27" spans="2:14">
      <c r="G27" t="str">
        <v>PASSO FUNDO</v>
      </c>
      <c r="K27" s="6" t="s">
        <v>104</v>
      </c>
      <c r="L27" t="s">
        <v>101</v>
      </c>
      <c r="M27" s="1">
        <f>COUNTIF(AREAS!L:L,Planilha2!L27)</f>
        <v>3</v>
      </c>
      <c r="N27" s="1">
        <f>_xlfn.XLOOKUP(L27,AREAS!L:L,AREAS!D:D,"não")</f>
        <v>1</v>
      </c>
    </row>
    <row r="28" spans="2:14">
      <c r="G28" t="str">
        <v>PORTO VELHO</v>
      </c>
      <c r="K28" s="6" t="s">
        <v>713</v>
      </c>
      <c r="L28" t="s">
        <v>104</v>
      </c>
      <c r="M28" s="1">
        <f>COUNTIF(AREAS!L:L,Planilha2!L28)</f>
        <v>3</v>
      </c>
      <c r="N28" s="1">
        <f>_xlfn.XLOOKUP(L28,AREAS!L:L,AREAS!D:D,"não")</f>
        <v>1</v>
      </c>
    </row>
    <row r="29" spans="2:14">
      <c r="G29" t="str">
        <v>ARAPIRACA</v>
      </c>
      <c r="K29" s="6" t="s">
        <v>714</v>
      </c>
      <c r="L29" t="s">
        <v>582</v>
      </c>
      <c r="M29" s="1">
        <f>COUNTIF(AREAS!L:L,Planilha2!L29)</f>
        <v>3</v>
      </c>
      <c r="N29" s="1">
        <f>_xlfn.XLOOKUP(L29,AREAS!L:L,AREAS!D:D,"não")</f>
        <v>1</v>
      </c>
    </row>
    <row r="30" spans="2:14">
      <c r="G30" t="str">
        <v>BARRA DOS COQUEIROS</v>
      </c>
      <c r="K30" s="6" t="s">
        <v>715</v>
      </c>
      <c r="L30" t="s">
        <v>107</v>
      </c>
      <c r="M30" s="1">
        <f>COUNTIF(AREAS!L:L,Planilha2!L30)</f>
        <v>4</v>
      </c>
      <c r="N30" s="1">
        <f>_xlfn.XLOOKUP(L30,AREAS!L:L,AREAS!D:D,"não")</f>
        <v>1</v>
      </c>
    </row>
    <row r="31" spans="2:14">
      <c r="G31" t="str">
        <v>REDENÇÃO</v>
      </c>
      <c r="K31" s="6" t="s">
        <v>551</v>
      </c>
      <c r="L31" t="s">
        <v>565</v>
      </c>
      <c r="M31" s="1">
        <f>COUNTIF(AREAS!L:L,Planilha2!L31)</f>
        <v>0</v>
      </c>
      <c r="N31" s="1" t="str">
        <f>_xlfn.XLOOKUP(L31,AREAS!L:L,AREAS!D:D,"não")</f>
        <v>não</v>
      </c>
    </row>
    <row r="32" spans="2:14">
      <c r="G32" t="str">
        <v xml:space="preserve">PARAUAPEBAS </v>
      </c>
      <c r="K32" s="6" t="s">
        <v>170</v>
      </c>
      <c r="L32" t="s">
        <v>112</v>
      </c>
      <c r="M32" s="1">
        <f>COUNTIF(AREAS!L:L,Planilha2!L32)</f>
        <v>5</v>
      </c>
      <c r="N32" s="1">
        <f>_xlfn.XLOOKUP(L32,AREAS!L:L,AREAS!D:D,"não")</f>
        <v>1</v>
      </c>
    </row>
    <row r="33" spans="7:14">
      <c r="G33" t="str">
        <v>CONCEIÇÃO DO ARAGUAIA</v>
      </c>
      <c r="K33" s="6" t="s">
        <v>164</v>
      </c>
      <c r="L33" t="s">
        <v>74</v>
      </c>
      <c r="M33" s="1">
        <f>COUNTIF(AREAS!L:L,Planilha2!L33)</f>
        <v>3</v>
      </c>
      <c r="N33" s="1">
        <f>_xlfn.XLOOKUP(L33,AREAS!L:L,AREAS!D:D,"não")</f>
        <v>1</v>
      </c>
    </row>
    <row r="34" spans="7:14">
      <c r="G34" t="str">
        <v>RIO BRANCO</v>
      </c>
      <c r="K34" s="6" t="s">
        <v>166</v>
      </c>
      <c r="L34" t="s">
        <v>115</v>
      </c>
      <c r="M34" s="1">
        <f>COUNTIF(AREAS!L:L,Planilha2!L34)</f>
        <v>2</v>
      </c>
      <c r="N34" s="1">
        <f>_xlfn.XLOOKUP(L34,AREAS!L:L,AREAS!D:D,"não")</f>
        <v>1</v>
      </c>
    </row>
    <row r="35" spans="7:14">
      <c r="G35" t="str">
        <v>TANGARÁ DA SERRA</v>
      </c>
      <c r="K35" s="6" t="s">
        <v>716</v>
      </c>
      <c r="L35" t="s">
        <v>117</v>
      </c>
      <c r="M35" s="1">
        <f>COUNTIF(AREAS!L:L,Planilha2!L35)</f>
        <v>0</v>
      </c>
      <c r="N35" s="1" t="str">
        <f>_xlfn.XLOOKUP(L35,AREAS!L:L,AREAS!D:D,"não")</f>
        <v>não</v>
      </c>
    </row>
    <row r="36" spans="7:14">
      <c r="G36" t="str">
        <v>CACOAL</v>
      </c>
      <c r="K36" s="6" t="s">
        <v>717</v>
      </c>
      <c r="L36" t="s">
        <v>119</v>
      </c>
      <c r="M36" s="1">
        <f>COUNTIF(AREAS!L:L,Planilha2!L36)</f>
        <v>2</v>
      </c>
      <c r="N36" s="1">
        <f>_xlfn.XLOOKUP(L36,AREAS!L:L,AREAS!D:D,"não")</f>
        <v>1</v>
      </c>
    </row>
    <row r="37" spans="7:14">
      <c r="G37" t="str">
        <v>CHAPADA DOS GUIMARÃES</v>
      </c>
      <c r="K37" s="6" t="s">
        <v>180</v>
      </c>
      <c r="L37" s="3" t="s">
        <v>30</v>
      </c>
      <c r="M37" s="4">
        <v>1</v>
      </c>
      <c r="N37" s="4">
        <f>_xlfn.XLOOKUP(L37,AREAS!L:L,AREAS!D:D,"não")</f>
        <v>1</v>
      </c>
    </row>
    <row r="38" spans="7:14">
      <c r="G38" t="str">
        <v>GUARANTÃ DO NORTE</v>
      </c>
      <c r="K38" s="6" t="s">
        <v>718</v>
      </c>
      <c r="L38" t="s">
        <v>76</v>
      </c>
      <c r="M38" s="1">
        <f>COUNTIF(AREAS!L:L,Planilha2!L38)</f>
        <v>1</v>
      </c>
      <c r="N38" s="1">
        <f>_xlfn.XLOOKUP(L38,AREAS!L:L,AREAS!D:D,"não")</f>
        <v>1</v>
      </c>
    </row>
    <row r="39" spans="7:14">
      <c r="G39" t="str">
        <v>COLATINA</v>
      </c>
      <c r="K39" s="6" t="s">
        <v>719</v>
      </c>
      <c r="L39" t="s">
        <v>124</v>
      </c>
      <c r="M39" s="1">
        <f>COUNTIF(AREAS!L:L,Planilha2!L39)</f>
        <v>5</v>
      </c>
      <c r="N39" s="1">
        <f>_xlfn.XLOOKUP(L39,AREAS!L:L,AREAS!D:D,"não")</f>
        <v>1</v>
      </c>
    </row>
    <row r="40" spans="7:14">
      <c r="G40" t="str">
        <v>MONTES CLAROS</v>
      </c>
      <c r="K40" s="6" t="s">
        <v>720</v>
      </c>
      <c r="L40" t="s">
        <v>125</v>
      </c>
      <c r="M40" s="1">
        <f>COUNTIF(AREAS!L:L,Planilha2!L40)</f>
        <v>5</v>
      </c>
      <c r="N40" s="1">
        <f>_xlfn.XLOOKUP(L40,AREAS!L:L,AREAS!D:D,"não")</f>
        <v>1</v>
      </c>
    </row>
    <row r="41" spans="7:14">
      <c r="G41" t="str">
        <v>ITABORAÍ</v>
      </c>
      <c r="K41" s="6" t="s">
        <v>52</v>
      </c>
      <c r="L41" t="s">
        <v>132</v>
      </c>
      <c r="M41" s="1">
        <f>COUNTIF(AREAS!L:L,Planilha2!L41)</f>
        <v>3</v>
      </c>
      <c r="N41" s="1">
        <f>_xlfn.XLOOKUP(L41,AREAS!L:L,AREAS!D:D,"não")</f>
        <v>1</v>
      </c>
    </row>
    <row r="42" spans="7:14">
      <c r="G42" t="str">
        <v>LORENA</v>
      </c>
      <c r="K42" s="6" t="s">
        <v>27</v>
      </c>
      <c r="L42" t="s">
        <v>134</v>
      </c>
      <c r="M42" s="1">
        <f>COUNTIF(AREAS!L:L,Planilha2!L42)</f>
        <v>2</v>
      </c>
      <c r="N42" s="1">
        <f>_xlfn.XLOOKUP(L42,AREAS!L:L,AREAS!D:D,"não")</f>
        <v>1</v>
      </c>
    </row>
    <row r="43" spans="7:14">
      <c r="G43" t="str">
        <v>CAÇAPAVA</v>
      </c>
      <c r="K43" s="6" t="s">
        <v>721</v>
      </c>
      <c r="L43" t="s">
        <v>153</v>
      </c>
      <c r="M43" s="1">
        <f>COUNTIF(AREAS!L:L,Planilha2!L43)</f>
        <v>0</v>
      </c>
      <c r="N43" s="1" t="str">
        <f>_xlfn.XLOOKUP(L43,AREAS!L:L,AREAS!D:D,"não")</f>
        <v>não</v>
      </c>
    </row>
    <row r="44" spans="7:14">
      <c r="G44" t="str">
        <v>CACHOEIRA DO SUL</v>
      </c>
      <c r="K44" s="6" t="s">
        <v>37</v>
      </c>
      <c r="L44" t="s">
        <v>139</v>
      </c>
      <c r="M44" s="1">
        <f>COUNTIF(AREAS!L:L,Planilha2!L44)</f>
        <v>2</v>
      </c>
      <c r="N44" s="1">
        <f>_xlfn.XLOOKUP(L44,AREAS!L:L,AREAS!D:D,"não")</f>
        <v>1</v>
      </c>
    </row>
    <row r="45" spans="7:14">
      <c r="G45" t="str">
        <v>CANELA</v>
      </c>
      <c r="K45" s="6" t="s">
        <v>44</v>
      </c>
      <c r="L45" t="s">
        <v>142</v>
      </c>
      <c r="M45" s="1">
        <f>COUNTIF(AREAS!L:L,Planilha2!L45)</f>
        <v>3</v>
      </c>
      <c r="N45" s="1">
        <f>_xlfn.XLOOKUP(L45,AREAS!L:L,AREAS!D:D,"não")</f>
        <v>1</v>
      </c>
    </row>
    <row r="46" spans="7:14">
      <c r="G46" t="str">
        <v>BARREIRAS</v>
      </c>
      <c r="K46" s="6" t="s">
        <v>39</v>
      </c>
      <c r="L46" t="s">
        <v>144</v>
      </c>
      <c r="M46" s="1">
        <f>COUNTIF(AREAS!L:L,Planilha2!L46)</f>
        <v>4</v>
      </c>
      <c r="N46" s="1">
        <f>_xlfn.XLOOKUP(L46,AREAS!L:L,AREAS!D:D,"não")</f>
        <v>1</v>
      </c>
    </row>
    <row r="47" spans="7:14">
      <c r="G47" t="str">
        <v>CALDAS NOVAS</v>
      </c>
      <c r="K47" s="6" t="s">
        <v>722</v>
      </c>
      <c r="L47" t="s">
        <v>145</v>
      </c>
      <c r="M47" s="1">
        <f>COUNTIF(AREAS!L:L,Planilha2!L47)</f>
        <v>5</v>
      </c>
      <c r="N47" s="1">
        <f>_xlfn.XLOOKUP(L47,AREAS!L:L,AREAS!D:D,"não")</f>
        <v>1</v>
      </c>
    </row>
    <row r="48" spans="7:14">
      <c r="G48" t="str">
        <v>ALAGOINHA</v>
      </c>
      <c r="K48" s="6" t="s">
        <v>723</v>
      </c>
      <c r="L48" t="s">
        <v>146</v>
      </c>
      <c r="M48" s="1">
        <f>COUNTIF(AREAS!L:L,Planilha2!L48)</f>
        <v>12</v>
      </c>
      <c r="N48" s="1">
        <f>_xlfn.XLOOKUP(L48,AREAS!L:L,AREAS!D:D,"não")</f>
        <v>1</v>
      </c>
    </row>
    <row r="49" spans="7:14">
      <c r="G49" t="str">
        <v>TAUÁ</v>
      </c>
      <c r="K49" s="6" t="s">
        <v>42</v>
      </c>
      <c r="L49" t="s">
        <v>147</v>
      </c>
      <c r="M49" s="1">
        <f>COUNTIF(AREAS!L:L,Planilha2!L49)</f>
        <v>2</v>
      </c>
      <c r="N49" s="1">
        <f>_xlfn.XLOOKUP(L49,AREAS!L:L,AREAS!D:D,"não")</f>
        <v>1</v>
      </c>
    </row>
    <row r="50" spans="7:14">
      <c r="G50" t="str">
        <v>SANTANA DO ARAGUAIA</v>
      </c>
      <c r="K50" s="6" t="s">
        <v>157</v>
      </c>
      <c r="L50" t="s">
        <v>148</v>
      </c>
      <c r="M50" s="1">
        <f>COUNTIF(AREAS!L:L,Planilha2!L50)</f>
        <v>4</v>
      </c>
      <c r="N50" s="1">
        <f>_xlfn.XLOOKUP(L50,AREAS!L:L,AREAS!D:D,"não")</f>
        <v>1</v>
      </c>
    </row>
    <row r="51" spans="7:14">
      <c r="G51" t="str">
        <v>VÁRZEA GRANDE</v>
      </c>
      <c r="K51" s="6" t="s">
        <v>158</v>
      </c>
      <c r="L51" t="s">
        <v>149</v>
      </c>
      <c r="M51" s="1">
        <f>COUNTIF(AREAS!L:L,Planilha2!L51)</f>
        <v>7</v>
      </c>
      <c r="N51" s="1">
        <f>_xlfn.XLOOKUP(L51,AREAS!L:L,AREAS!D:D,"não")</f>
        <v>1</v>
      </c>
    </row>
    <row r="52" spans="7:14">
      <c r="G52" t="str">
        <v>CUIABÁ</v>
      </c>
      <c r="K52" s="6" t="s">
        <v>119</v>
      </c>
      <c r="L52" t="s">
        <v>150</v>
      </c>
      <c r="M52" s="1">
        <f>COUNTIF(AREAS!L:L,Planilha2!L52)</f>
        <v>4</v>
      </c>
      <c r="N52" s="1">
        <f>_xlfn.XLOOKUP(L52,AREAS!L:L,AREAS!D:D,"não")</f>
        <v>1</v>
      </c>
    </row>
    <row r="53" spans="7:14">
      <c r="G53" t="str">
        <v>ROLIM DE MOURA</v>
      </c>
      <c r="K53" s="6" t="s">
        <v>142</v>
      </c>
      <c r="L53" t="s">
        <v>151</v>
      </c>
      <c r="M53" s="1">
        <f>COUNTIF(AREAS!L:L,Planilha2!L53)</f>
        <v>3</v>
      </c>
      <c r="N53" s="1">
        <f>_xlfn.XLOOKUP(L53,AREAS!L:L,AREAS!D:D,"não")</f>
        <v>1</v>
      </c>
    </row>
    <row r="54" spans="7:14">
      <c r="G54" t="str">
        <v>ARIQUEMES</v>
      </c>
      <c r="K54" s="6" t="s">
        <v>112</v>
      </c>
      <c r="L54" t="s">
        <v>152</v>
      </c>
      <c r="M54" s="1">
        <f>COUNTIF(AREAS!L:L,Planilha2!L54)</f>
        <v>3</v>
      </c>
      <c r="N54" s="1">
        <f>_xlfn.XLOOKUP(L54,AREAS!L:L,AREAS!D:D,"não")</f>
        <v>1</v>
      </c>
    </row>
    <row r="55" spans="7:14">
      <c r="G55" t="str">
        <v>ITAPETININGA</v>
      </c>
      <c r="K55" s="6" t="s">
        <v>115</v>
      </c>
      <c r="L55" t="s">
        <v>105</v>
      </c>
      <c r="M55" s="1">
        <f>COUNTIF(AREAS!L:L,Planilha2!L55)</f>
        <v>2</v>
      </c>
      <c r="N55" s="1">
        <f>_xlfn.XLOOKUP(L55,AREAS!L:L,AREAS!D:D,"não")</f>
        <v>1</v>
      </c>
    </row>
    <row r="56" spans="7:14">
      <c r="G56" t="str">
        <v>ITATIAIA</v>
      </c>
      <c r="K56" s="6" t="s">
        <v>582</v>
      </c>
      <c r="L56" t="s">
        <v>167</v>
      </c>
      <c r="M56" s="1">
        <f>COUNTIF(AREAS!L:L,Planilha2!L56)</f>
        <v>0</v>
      </c>
      <c r="N56" s="1" t="str">
        <f>_xlfn.XLOOKUP(L56,AREAS!L:L,AREAS!D:D,"não")</f>
        <v>não</v>
      </c>
    </row>
    <row r="57" spans="7:14">
      <c r="G57" t="str">
        <v>MACAÉ</v>
      </c>
      <c r="K57" s="6" t="s">
        <v>724</v>
      </c>
      <c r="L57" t="s">
        <v>154</v>
      </c>
      <c r="M57" s="1">
        <f>COUNTIF(AREAS!L:L,Planilha2!L57)</f>
        <v>3</v>
      </c>
      <c r="N57" s="1">
        <f>_xlfn.XLOOKUP(L57,AREAS!L:L,AREAS!D:D,"não")</f>
        <v>1</v>
      </c>
    </row>
    <row r="58" spans="7:14">
      <c r="G58" t="str">
        <v>PRESIDENTE PRUDENTE</v>
      </c>
      <c r="K58" s="6" t="s">
        <v>139</v>
      </c>
      <c r="L58" t="s">
        <v>155</v>
      </c>
      <c r="M58" s="1">
        <f>COUNTIF(AREAS!L:L,Planilha2!L58)</f>
        <v>2</v>
      </c>
      <c r="N58" s="1">
        <f>_xlfn.XLOOKUP(L58,AREAS!L:L,AREAS!D:D,"não")</f>
        <v>1</v>
      </c>
    </row>
    <row r="59" spans="7:14">
      <c r="G59" t="str">
        <v>UBERLÃNDIA</v>
      </c>
      <c r="K59" s="6" t="s">
        <v>725</v>
      </c>
      <c r="L59" t="s">
        <v>156</v>
      </c>
      <c r="M59" s="1">
        <f>COUNTIF(AREAS!L:L,Planilha2!L59)</f>
        <v>2</v>
      </c>
      <c r="N59" s="1">
        <f>_xlfn.XLOOKUP(L59,AREAS!L:L,AREAS!D:D,"não")</f>
        <v>1</v>
      </c>
    </row>
    <row r="60" spans="7:14">
      <c r="G60" t="str">
        <v>RIO GRANDE</v>
      </c>
      <c r="K60" s="6" t="s">
        <v>726</v>
      </c>
      <c r="L60" t="s">
        <v>157</v>
      </c>
      <c r="M60" s="1">
        <f>COUNTIF(AREAS!L:L,Planilha2!L60)</f>
        <v>2</v>
      </c>
      <c r="N60" s="1">
        <f>_xlfn.XLOOKUP(L60,AREAS!L:L,AREAS!D:D,"não")</f>
        <v>1</v>
      </c>
    </row>
    <row r="61" spans="7:14">
      <c r="G61" t="str">
        <v>GUAÍBA</v>
      </c>
      <c r="K61" s="6" t="s">
        <v>727</v>
      </c>
      <c r="L61" t="s">
        <v>158</v>
      </c>
      <c r="M61" s="1">
        <f>COUNTIF(AREAS!L:L,Planilha2!L61)</f>
        <v>1</v>
      </c>
      <c r="N61" s="1">
        <f>_xlfn.XLOOKUP(L61,AREAS!L:L,AREAS!D:D,"não")</f>
        <v>1</v>
      </c>
    </row>
    <row r="62" spans="7:14">
      <c r="G62" t="str">
        <v>ALVORADA</v>
      </c>
      <c r="K62" s="6" t="s">
        <v>177</v>
      </c>
      <c r="L62" t="s">
        <v>160</v>
      </c>
      <c r="M62" s="1">
        <f>COUNTIF(AREAS!L:L,Planilha2!L62)</f>
        <v>9</v>
      </c>
      <c r="N62" s="1">
        <f>_xlfn.XLOOKUP(L62,AREAS!L:L,AREAS!D:D,"não")</f>
        <v>1</v>
      </c>
    </row>
    <row r="63" spans="7:14">
      <c r="G63" t="str">
        <v>SAPIRANGA</v>
      </c>
      <c r="K63" s="6" t="s">
        <v>171</v>
      </c>
      <c r="L63" t="s">
        <v>164</v>
      </c>
      <c r="M63" s="1">
        <f>COUNTIF(AREAS!L:L,Planilha2!L63)</f>
        <v>3</v>
      </c>
      <c r="N63" s="1">
        <f>_xlfn.XLOOKUP(L63,AREAS!L:L,AREAS!D:D,"não")</f>
        <v>1</v>
      </c>
    </row>
    <row r="64" spans="7:14">
      <c r="G64" t="str">
        <v>VITORINO</v>
      </c>
      <c r="K64" s="6" t="s">
        <v>173</v>
      </c>
      <c r="L64" t="s">
        <v>166</v>
      </c>
      <c r="M64" s="1">
        <f>COUNTIF(AREAS!L:L,Planilha2!L64)</f>
        <v>3</v>
      </c>
      <c r="N64" s="1">
        <f>_xlfn.XLOOKUP(L64,AREAS!L:L,AREAS!D:D,"não")</f>
        <v>1</v>
      </c>
    </row>
    <row r="65" spans="7:14">
      <c r="G65" t="str">
        <v xml:space="preserve">PORANGATU </v>
      </c>
      <c r="K65" s="6" t="s">
        <v>544</v>
      </c>
      <c r="L65" t="s">
        <v>170</v>
      </c>
      <c r="M65" s="1">
        <f>COUNTIF(AREAS!L:L,Planilha2!L65)</f>
        <v>2</v>
      </c>
      <c r="N65" s="1">
        <f>_xlfn.XLOOKUP(L65,AREAS!L:L,AREAS!D:D,"não")</f>
        <v>1</v>
      </c>
    </row>
    <row r="66" spans="7:14">
      <c r="G66" t="str">
        <v>ELDORADO DO CARAJÁS</v>
      </c>
      <c r="K66" s="6" t="s">
        <v>175</v>
      </c>
      <c r="L66" t="s">
        <v>171</v>
      </c>
      <c r="M66" s="1">
        <f>COUNTIF(AREAS!L:L,Planilha2!L66)</f>
        <v>1</v>
      </c>
      <c r="N66" s="1">
        <f>_xlfn.XLOOKUP(L66,AREAS!L:L,AREAS!D:D,"não")</f>
        <v>1</v>
      </c>
    </row>
    <row r="67" spans="7:14">
      <c r="G67" t="str">
        <v>PARAGOMINAS</v>
      </c>
      <c r="K67" s="6" t="s">
        <v>154</v>
      </c>
      <c r="L67" t="s">
        <v>173</v>
      </c>
      <c r="M67" s="1">
        <f>COUNTIF(AREAS!L:L,Planilha2!L67)</f>
        <v>2</v>
      </c>
      <c r="N67" s="1">
        <f>_xlfn.XLOOKUP(L67,AREAS!L:L,AREAS!D:D,"não")</f>
        <v>1</v>
      </c>
    </row>
    <row r="68" spans="7:14">
      <c r="G68" t="str">
        <v>OURILÂNDIA DO NORTE</v>
      </c>
      <c r="K68" s="6" t="s">
        <v>144</v>
      </c>
      <c r="L68" t="s">
        <v>175</v>
      </c>
      <c r="M68" s="1">
        <f>COUNTIF(AREAS!L:L,Planilha2!L68)</f>
        <v>2</v>
      </c>
      <c r="N68" s="1">
        <f>_xlfn.XLOOKUP(L68,AREAS!L:L,AREAS!D:D,"não")</f>
        <v>1</v>
      </c>
    </row>
    <row r="69" spans="7:14">
      <c r="G69" t="str">
        <v>JI-PARANÁ</v>
      </c>
      <c r="K69" s="6" t="s">
        <v>150</v>
      </c>
      <c r="L69" t="s">
        <v>177</v>
      </c>
      <c r="M69" s="1">
        <f>COUNTIF(AREAS!L:L,Planilha2!L69)</f>
        <v>1</v>
      </c>
      <c r="N69" s="1">
        <f>_xlfn.XLOOKUP(L69,AREAS!L:L,AREAS!D:D,"não")</f>
        <v>1</v>
      </c>
    </row>
    <row r="70" spans="7:14">
      <c r="G70" t="str">
        <v>MIRASSOL D'OESTE</v>
      </c>
      <c r="K70" s="6" t="s">
        <v>149</v>
      </c>
      <c r="L70" t="s">
        <v>564</v>
      </c>
      <c r="M70" s="1">
        <f>COUNTIF(AREAS!L:L,Planilha2!L70)</f>
        <v>2</v>
      </c>
      <c r="N70" s="1">
        <f>_xlfn.XLOOKUP(L70,AREAS!L:L,AREAS!D:D,"não")</f>
        <v>1</v>
      </c>
    </row>
    <row r="71" spans="7:14">
      <c r="G71" t="str">
        <v>RIO DE JANEIRO</v>
      </c>
      <c r="K71" s="6" t="s">
        <v>145</v>
      </c>
      <c r="L71" t="s">
        <v>180</v>
      </c>
      <c r="M71" s="1">
        <f>COUNTIF(AREAS!L:L,Planilha2!L71)</f>
        <v>1</v>
      </c>
      <c r="N71" s="1">
        <f>_xlfn.XLOOKUP(L71,AREAS!L:L,AREAS!D:D,"não")</f>
        <v>1</v>
      </c>
    </row>
    <row r="72" spans="7:14">
      <c r="G72" t="str">
        <v>ARRAIAL DO CABO</v>
      </c>
      <c r="K72" s="6" t="s">
        <v>152</v>
      </c>
      <c r="L72" t="s">
        <v>182</v>
      </c>
      <c r="M72" s="1">
        <f>COUNTIF(AREAS!L:L,Planilha2!L72)</f>
        <v>8</v>
      </c>
      <c r="N72" s="1">
        <f>_xlfn.XLOOKUP(L72,AREAS!L:L,AREAS!D:D,"não")</f>
        <v>1</v>
      </c>
    </row>
    <row r="73" spans="7:14">
      <c r="G73" t="str">
        <v>POÇOS DE CALDAS</v>
      </c>
      <c r="K73" s="6" t="s">
        <v>146</v>
      </c>
      <c r="L73" t="s">
        <v>544</v>
      </c>
      <c r="M73" s="1">
        <f>COUNTIF(AREAS!L:L,Planilha2!L73)</f>
        <v>1</v>
      </c>
      <c r="N73" s="1">
        <f>_xlfn.XLOOKUP(L73,AREAS!L:L,AREAS!D:D,"não")</f>
        <v>1</v>
      </c>
    </row>
    <row r="74" spans="7:14">
      <c r="G74" t="str">
        <v>FERNANDÓPOLIS</v>
      </c>
      <c r="K74" s="6" t="s">
        <v>728</v>
      </c>
      <c r="L74" t="s">
        <v>141</v>
      </c>
      <c r="M74" s="1">
        <f>COUNTIF(AREAS!L:L,Planilha2!L74)</f>
        <v>0</v>
      </c>
      <c r="N74" s="1" t="str">
        <f>_xlfn.XLOOKUP(L74,AREAS!L:L,AREAS!D:D,"não")</f>
        <v>não</v>
      </c>
    </row>
    <row r="75" spans="7:14">
      <c r="G75" t="str">
        <v>CABO FRIO</v>
      </c>
      <c r="K75" s="6" t="s">
        <v>147</v>
      </c>
      <c r="L75" t="s">
        <v>547</v>
      </c>
      <c r="M75" s="1">
        <f>COUNTIF(AREAS!L:L,Planilha2!L75)</f>
        <v>0</v>
      </c>
      <c r="N75" s="1" t="str">
        <f>_xlfn.XLOOKUP(L75,AREAS!L:L,AREAS!D:D,"não")</f>
        <v>não</v>
      </c>
    </row>
    <row r="76" spans="7:14">
      <c r="G76" t="str">
        <v xml:space="preserve">UBERABA </v>
      </c>
      <c r="K76" s="6" t="s">
        <v>155</v>
      </c>
      <c r="L76" t="s">
        <v>551</v>
      </c>
      <c r="M76" s="1">
        <f>COUNTIF(AREAS!L:L,Planilha2!L76)</f>
        <v>2</v>
      </c>
      <c r="N76" s="1">
        <f>_xlfn.XLOOKUP(L76,AREAS!L:L,AREAS!D:D,"não")</f>
        <v>1</v>
      </c>
    </row>
    <row r="77" spans="7:14">
      <c r="G77" t="str">
        <v>TORRES</v>
      </c>
      <c r="K77" s="6" t="s">
        <v>148</v>
      </c>
      <c r="L77" t="s">
        <v>562</v>
      </c>
      <c r="M77" s="1">
        <f>COUNTIF(AREAS!L:L,Planilha2!L77)</f>
        <v>1</v>
      </c>
      <c r="N77" s="1">
        <f>_xlfn.XLOOKUP(L77,AREAS!L:L,AREAS!D:D,"não")</f>
        <v>1</v>
      </c>
    </row>
    <row r="78" spans="7:14">
      <c r="G78" t="str">
        <v>GUARAPARI</v>
      </c>
      <c r="K78" s="6" t="s">
        <v>156</v>
      </c>
      <c r="M78" s="1">
        <f>SUM(M6:M77)</f>
        <v>207</v>
      </c>
    </row>
    <row r="79" spans="7:14">
      <c r="G79">
        <v>0</v>
      </c>
      <c r="K79" s="6" t="s">
        <v>151</v>
      </c>
    </row>
    <row r="80" spans="7:14">
      <c r="K80" s="6" t="s">
        <v>91</v>
      </c>
    </row>
    <row r="81" spans="11:11">
      <c r="K81" s="6" t="s">
        <v>729</v>
      </c>
    </row>
    <row r="82" spans="11:11">
      <c r="K82" s="6" t="s">
        <v>134</v>
      </c>
    </row>
    <row r="83" spans="11:11">
      <c r="K83" s="6" t="s">
        <v>132</v>
      </c>
    </row>
    <row r="84" spans="11:11">
      <c r="K84" s="6" t="s">
        <v>730</v>
      </c>
    </row>
    <row r="85" spans="11:11">
      <c r="K85" s="6" t="s">
        <v>584</v>
      </c>
    </row>
    <row r="86" spans="11:11">
      <c r="K86" s="6" t="s">
        <v>124</v>
      </c>
    </row>
    <row r="87" spans="11:11">
      <c r="K87" s="6" t="s">
        <v>125</v>
      </c>
    </row>
    <row r="88" spans="11:11">
      <c r="K88" s="6" t="s">
        <v>731</v>
      </c>
    </row>
    <row r="89" spans="11:11">
      <c r="K89" s="6" t="s">
        <v>74</v>
      </c>
    </row>
    <row r="90" spans="11:11">
      <c r="K90" s="6" t="s">
        <v>54</v>
      </c>
    </row>
    <row r="91" spans="11:11">
      <c r="K91" s="6" t="s">
        <v>732</v>
      </c>
    </row>
  </sheetData>
  <mergeCells count="5">
    <mergeCell ref="B10:C10"/>
    <mergeCell ref="B11:C11"/>
    <mergeCell ref="B19:C19"/>
    <mergeCell ref="B5:C5"/>
    <mergeCell ref="B17:C17"/>
  </mergeCells>
  <conditionalFormatting sqref="K6:L9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AREAS</vt:lpstr>
      <vt:lpstr>Painel</vt:lpstr>
      <vt:lpstr>Excluído da base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Iwry Rozemberg</dc:creator>
  <cp:lastModifiedBy>Erick Robert Coelho Pinto</cp:lastModifiedBy>
  <dcterms:created xsi:type="dcterms:W3CDTF">2026-03-04T11:46:26Z</dcterms:created>
  <dcterms:modified xsi:type="dcterms:W3CDTF">2026-07-02T15:09:56Z</dcterms:modified>
</cp:coreProperties>
</file>